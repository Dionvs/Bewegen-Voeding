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gboek macro layout" sheetId="1" r:id="rId5"/>
    <sheet state="visible" name="Samenvatting" sheetId="2" r:id="rId6"/>
  </sheets>
  <definedNames/>
  <calcPr/>
</workbook>
</file>

<file path=xl/sharedStrings.xml><?xml version="1.0" encoding="utf-8"?>
<sst xmlns="http://schemas.openxmlformats.org/spreadsheetml/2006/main" count="437" uniqueCount="83">
  <si>
    <t>Dag 1</t>
  </si>
  <si>
    <t>Ontbijt</t>
  </si>
  <si>
    <t>Middageten</t>
  </si>
  <si>
    <t>Avondeten</t>
  </si>
  <si>
    <t>Tussendoortjes</t>
  </si>
  <si>
    <t>Water</t>
  </si>
  <si>
    <t>Product</t>
  </si>
  <si>
    <t>g/ml/st</t>
  </si>
  <si>
    <t>Kcal</t>
  </si>
  <si>
    <t>Eiwit</t>
  </si>
  <si>
    <t>Koolh.</t>
  </si>
  <si>
    <t>Vet</t>
  </si>
  <si>
    <t>ml</t>
  </si>
  <si>
    <t>Dag totaal ml</t>
  </si>
  <si>
    <t>Muesli bio</t>
  </si>
  <si>
    <t>Groentesoep (home-made)</t>
  </si>
  <si>
    <t>Rode bieten</t>
  </si>
  <si>
    <t>Koffie zwart</t>
  </si>
  <si>
    <t>Volle melk</t>
  </si>
  <si>
    <t>Boterham(volkoren)</t>
  </si>
  <si>
    <t>Rundersaucijs</t>
  </si>
  <si>
    <t>Paasstol</t>
  </si>
  <si>
    <t>Plak kaas jong-belegen</t>
  </si>
  <si>
    <t>Onbekend item (Avondeten)</t>
  </si>
  <si>
    <t>Appelstroop</t>
  </si>
  <si>
    <t>Humus-pesto</t>
  </si>
  <si>
    <t>Sla melange</t>
  </si>
  <si>
    <t>Honing</t>
  </si>
  <si>
    <t>Totaal</t>
  </si>
  <si>
    <t>Dagtotaal</t>
  </si>
  <si>
    <t>Dag 2</t>
  </si>
  <si>
    <t>Havermout</t>
  </si>
  <si>
    <t>Pandan rijst</t>
  </si>
  <si>
    <t>Chinese kool</t>
  </si>
  <si>
    <t>Jodenkoek</t>
  </si>
  <si>
    <t>Rozijnen</t>
  </si>
  <si>
    <t>Rundergehakt</t>
  </si>
  <si>
    <t>Appelsap</t>
  </si>
  <si>
    <t>Kokos</t>
  </si>
  <si>
    <t>Gerookte zalmsalade</t>
  </si>
  <si>
    <t>Naturel chips</t>
  </si>
  <si>
    <t>Noten/zaden mix</t>
  </si>
  <si>
    <t>Haring</t>
  </si>
  <si>
    <t>Griekse yoghurt 10%</t>
  </si>
  <si>
    <t>Appel</t>
  </si>
  <si>
    <t>Dag 3</t>
  </si>
  <si>
    <t>Pannenkoek (ham/kaas)</t>
  </si>
  <si>
    <t>Digestive koek</t>
  </si>
  <si>
    <t>Beenham</t>
  </si>
  <si>
    <t>Tonic</t>
  </si>
  <si>
    <t>Gekookt ei</t>
  </si>
  <si>
    <t>Kers/slagroom cake</t>
  </si>
  <si>
    <t>Dag 4</t>
  </si>
  <si>
    <t>Bruine bonen met rijst (Sur.)</t>
  </si>
  <si>
    <t>Pindakaas 100%</t>
  </si>
  <si>
    <t>Dag 5</t>
  </si>
  <si>
    <t>Krieltjes uit de oven</t>
  </si>
  <si>
    <t>Asperges (groen)</t>
  </si>
  <si>
    <t>Lamskotelet</t>
  </si>
  <si>
    <t>Pasta Bolognese</t>
  </si>
  <si>
    <t>Dag 6</t>
  </si>
  <si>
    <t>Aardappelblokjes</t>
  </si>
  <si>
    <t>Tonijn in olie</t>
  </si>
  <si>
    <t>Snijbonen</t>
  </si>
  <si>
    <t>Runder chipolata worst</t>
  </si>
  <si>
    <t>Koffiebroodje</t>
  </si>
  <si>
    <t>Chocolade 90%</t>
  </si>
  <si>
    <t>Dag 7</t>
  </si>
  <si>
    <t>Banaan</t>
  </si>
  <si>
    <t>Italiaanse ham</t>
  </si>
  <si>
    <t>Courgette</t>
  </si>
  <si>
    <t>Gebakken ei</t>
  </si>
  <si>
    <t>Dag 8</t>
  </si>
  <si>
    <t>Zilvervliesrijst</t>
  </si>
  <si>
    <t>Muffin (marmer)</t>
  </si>
  <si>
    <t>Droge worst</t>
  </si>
  <si>
    <t>Samenvatting voedingsdagboek</t>
  </si>
  <si>
    <t>Dag</t>
  </si>
  <si>
    <t>Eiwit (g)</t>
  </si>
  <si>
    <t>Koolhydraten (g)</t>
  </si>
  <si>
    <t>Vet (g)</t>
  </si>
  <si>
    <t>Water (ml)</t>
  </si>
  <si>
    <t>Gemiddelde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</si>
</sst>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color rgb="FF111827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8.0"/>
      <color rgb="FF0F172A"/>
      <name val="Calibri"/>
      <scheme val="minor"/>
    </font>
    <font>
      <b/>
      <color rgb="FFFFFFFF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EAF7EF"/>
        <bgColor rgb="FFEAF7EF"/>
      </patternFill>
    </fill>
    <fill>
      <patternFill patternType="solid">
        <fgColor rgb="FFEAF2FF"/>
        <bgColor rgb="FFEAF2FF"/>
      </patternFill>
    </fill>
    <fill>
      <patternFill patternType="solid">
        <fgColor rgb="FFFFF7ED"/>
        <bgColor rgb="FFFFF7ED"/>
      </patternFill>
    </fill>
    <fill>
      <patternFill patternType="solid">
        <fgColor rgb="FFF5F3FF"/>
        <bgColor rgb="FFF5F3FF"/>
      </patternFill>
    </fill>
    <fill>
      <patternFill patternType="solid">
        <fgColor rgb="FFE0F2FE"/>
        <bgColor rgb="FFE0F2FE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shrinkToFit="0" vertical="top" wrapText="1"/>
    </xf>
    <xf borderId="4" fillId="0" fontId="4" numFmtId="0" xfId="0" applyBorder="1" applyFont="1"/>
    <xf borderId="4" fillId="0" fontId="4" numFmtId="0" xfId="0" applyAlignment="1" applyBorder="1" applyFont="1">
      <alignment readingOrder="0" shrinkToFit="0" vertical="top" wrapText="1"/>
    </xf>
    <xf borderId="4" fillId="3" fontId="5" numFmtId="0" xfId="0" applyBorder="1" applyFont="1"/>
    <xf borderId="4" fillId="4" fontId="5" numFmtId="0" xfId="0" applyBorder="1" applyFont="1"/>
    <xf borderId="4" fillId="5" fontId="5" numFmtId="0" xfId="0" applyBorder="1" applyFont="1"/>
    <xf borderId="4" fillId="6" fontId="5" numFmtId="0" xfId="0" applyBorder="1" applyFont="1"/>
    <xf borderId="4" fillId="7" fontId="5" numFmtId="0" xfId="0" applyBorder="1" applyFont="1"/>
    <xf borderId="4" fillId="9" fontId="5" numFmtId="0" xfId="0" applyBorder="1" applyFill="1" applyFont="1"/>
    <xf borderId="4" fillId="10" fontId="5" numFmtId="0" xfId="0" applyBorder="1" applyFill="1" applyFont="1"/>
    <xf borderId="0" fillId="10" fontId="6" numFmtId="0" xfId="0" applyFont="1"/>
    <xf borderId="0" fillId="0" fontId="7" numFmtId="0" xfId="0" applyFont="1"/>
    <xf borderId="4" fillId="2" fontId="8" numFmtId="0" xfId="0" applyBorder="1" applyFont="1"/>
    <xf borderId="4" fillId="0" fontId="4" numFmtId="1" xfId="0" applyBorder="1" applyFont="1" applyNumberFormat="1"/>
    <xf borderId="4" fillId="11" fontId="4" numFmtId="0" xfId="0" applyBorder="1" applyFill="1" applyFont="1"/>
    <xf borderId="4" fillId="11" fontId="4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6" width="10.0"/>
    <col customWidth="1" min="7" max="7" width="18.0"/>
    <col customWidth="1" min="8" max="12" width="10.0"/>
    <col customWidth="1" min="13" max="13" width="18.0"/>
    <col customWidth="1" min="14" max="18" width="10.0"/>
    <col customWidth="1" min="19" max="19" width="18.0"/>
    <col customWidth="1" min="20" max="25" width="10.0"/>
    <col customWidth="1" min="26" max="26" width="14.0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4.0" customHeight="1">
      <c r="A2" s="4" t="s">
        <v>1</v>
      </c>
      <c r="B2" s="2"/>
      <c r="C2" s="2"/>
      <c r="D2" s="2"/>
      <c r="E2" s="2"/>
      <c r="F2" s="3"/>
      <c r="G2" s="5" t="s">
        <v>2</v>
      </c>
      <c r="H2" s="2"/>
      <c r="I2" s="2"/>
      <c r="J2" s="2"/>
      <c r="K2" s="2"/>
      <c r="L2" s="3"/>
      <c r="M2" s="6" t="s">
        <v>3</v>
      </c>
      <c r="N2" s="2"/>
      <c r="O2" s="2"/>
      <c r="P2" s="2"/>
      <c r="Q2" s="2"/>
      <c r="R2" s="3"/>
      <c r="S2" s="7" t="s">
        <v>4</v>
      </c>
      <c r="T2" s="2"/>
      <c r="U2" s="2"/>
      <c r="V2" s="2"/>
      <c r="W2" s="2"/>
      <c r="X2" s="3"/>
      <c r="Y2" s="8" t="s">
        <v>5</v>
      </c>
      <c r="Z2" s="3"/>
    </row>
    <row r="3" ht="24.0" customHeight="1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6</v>
      </c>
      <c r="N3" s="9" t="s">
        <v>7</v>
      </c>
      <c r="O3" s="9" t="s">
        <v>8</v>
      </c>
      <c r="P3" s="9" t="s">
        <v>9</v>
      </c>
      <c r="Q3" s="9" t="s">
        <v>10</v>
      </c>
      <c r="R3" s="9" t="s">
        <v>11</v>
      </c>
      <c r="S3" s="9" t="s">
        <v>6</v>
      </c>
      <c r="T3" s="9" t="s">
        <v>7</v>
      </c>
      <c r="U3" s="9" t="s">
        <v>8</v>
      </c>
      <c r="V3" s="9" t="s">
        <v>9</v>
      </c>
      <c r="W3" s="9" t="s">
        <v>10</v>
      </c>
      <c r="X3" s="9" t="s">
        <v>11</v>
      </c>
      <c r="Y3" s="9" t="s">
        <v>12</v>
      </c>
      <c r="Z3" s="9" t="s">
        <v>13</v>
      </c>
    </row>
    <row r="4" ht="24.0" customHeight="1">
      <c r="A4" s="10" t="s">
        <v>14</v>
      </c>
      <c r="B4" s="10">
        <v>60.0</v>
      </c>
      <c r="C4" s="10">
        <v>270.0</v>
      </c>
      <c r="D4" s="10">
        <v>8.1</v>
      </c>
      <c r="E4" s="10">
        <v>48.6</v>
      </c>
      <c r="F4" s="10">
        <v>4.8</v>
      </c>
      <c r="G4" s="10" t="s">
        <v>15</v>
      </c>
      <c r="H4" s="10">
        <v>410.0</v>
      </c>
      <c r="I4" s="10">
        <v>213.0</v>
      </c>
      <c r="J4" s="10">
        <v>8.0</v>
      </c>
      <c r="K4" s="10">
        <v>29.3</v>
      </c>
      <c r="L4" s="10">
        <v>7.1</v>
      </c>
      <c r="M4" s="10" t="s">
        <v>16</v>
      </c>
      <c r="N4" s="10">
        <v>250.0</v>
      </c>
      <c r="O4" s="10">
        <v>73.0</v>
      </c>
      <c r="P4" s="10">
        <v>2.2</v>
      </c>
      <c r="Q4" s="10">
        <v>15.0</v>
      </c>
      <c r="R4" s="10">
        <v>0.5</v>
      </c>
      <c r="S4" s="10" t="s">
        <v>17</v>
      </c>
      <c r="T4" s="10">
        <v>100.0</v>
      </c>
      <c r="U4" s="10">
        <v>1.0</v>
      </c>
      <c r="V4" s="10">
        <v>0.0</v>
      </c>
      <c r="W4" s="10">
        <v>0.0</v>
      </c>
      <c r="X4" s="10">
        <v>0.0</v>
      </c>
      <c r="Y4" s="11">
        <v>200.0</v>
      </c>
      <c r="Z4" s="11"/>
    </row>
    <row r="5" ht="24.0" customHeight="1">
      <c r="A5" s="10" t="s">
        <v>18</v>
      </c>
      <c r="B5" s="10">
        <v>165.0</v>
      </c>
      <c r="C5" s="10">
        <v>109.0</v>
      </c>
      <c r="D5" s="10">
        <v>5.5</v>
      </c>
      <c r="E5" s="10">
        <v>8.2</v>
      </c>
      <c r="F5" s="10">
        <v>6.1</v>
      </c>
      <c r="G5" s="10" t="s">
        <v>19</v>
      </c>
      <c r="H5" s="10">
        <v>3.0</v>
      </c>
      <c r="I5" s="10">
        <v>228.0</v>
      </c>
      <c r="J5" s="10">
        <v>8.0</v>
      </c>
      <c r="K5" s="10">
        <v>39.9</v>
      </c>
      <c r="L5" s="10">
        <v>4.1</v>
      </c>
      <c r="M5" s="10" t="s">
        <v>20</v>
      </c>
      <c r="N5" s="10">
        <v>70.0</v>
      </c>
      <c r="O5" s="10">
        <v>153.0</v>
      </c>
      <c r="P5" s="10">
        <v>10.7</v>
      </c>
      <c r="Q5" s="10">
        <v>1.5</v>
      </c>
      <c r="R5" s="10">
        <v>11.6</v>
      </c>
      <c r="S5" s="10" t="s">
        <v>21</v>
      </c>
      <c r="T5" s="10">
        <v>100.0</v>
      </c>
      <c r="U5" s="10">
        <v>310.0</v>
      </c>
      <c r="V5" s="10">
        <v>6.2</v>
      </c>
      <c r="W5" s="10">
        <v>54.2</v>
      </c>
      <c r="X5" s="10">
        <v>7.6</v>
      </c>
      <c r="Y5" s="11">
        <v>350.0</v>
      </c>
      <c r="Z5" s="11"/>
    </row>
    <row r="6" ht="24.0" customHeight="1">
      <c r="A6" s="10" t="s">
        <v>19</v>
      </c>
      <c r="B6" s="10">
        <v>2.0</v>
      </c>
      <c r="C6" s="10">
        <v>152.0</v>
      </c>
      <c r="D6" s="10">
        <v>5.3</v>
      </c>
      <c r="E6" s="10">
        <v>26.6</v>
      </c>
      <c r="F6" s="10">
        <v>2.7</v>
      </c>
      <c r="G6" s="10" t="s">
        <v>22</v>
      </c>
      <c r="H6" s="10">
        <v>1.0</v>
      </c>
      <c r="I6" s="12">
        <v>120.0</v>
      </c>
      <c r="J6" s="10">
        <v>20.3</v>
      </c>
      <c r="K6" s="10">
        <v>1.4</v>
      </c>
      <c r="L6" s="10">
        <v>22.6</v>
      </c>
      <c r="M6" s="10" t="s">
        <v>23</v>
      </c>
      <c r="N6" s="10">
        <v>214.0</v>
      </c>
      <c r="O6" s="10">
        <v>569.0</v>
      </c>
      <c r="P6" s="10">
        <v>17.1</v>
      </c>
      <c r="Q6" s="10">
        <v>64.0</v>
      </c>
      <c r="R6" s="10">
        <v>27.2</v>
      </c>
      <c r="S6" s="10"/>
      <c r="T6" s="10"/>
      <c r="U6" s="10"/>
      <c r="V6" s="10"/>
      <c r="W6" s="10"/>
      <c r="X6" s="10"/>
      <c r="Y6" s="11">
        <v>250.0</v>
      </c>
      <c r="Z6" s="11"/>
    </row>
    <row r="7" ht="24.0" customHeight="1">
      <c r="A7" s="10" t="s">
        <v>24</v>
      </c>
      <c r="B7" s="10">
        <v>2.0</v>
      </c>
      <c r="C7" s="10">
        <v>5.0</v>
      </c>
      <c r="D7" s="10">
        <v>0.0</v>
      </c>
      <c r="E7" s="10">
        <v>1.2</v>
      </c>
      <c r="F7" s="10">
        <v>0.0</v>
      </c>
      <c r="G7" s="10" t="s">
        <v>25</v>
      </c>
      <c r="H7" s="10">
        <v>8.0</v>
      </c>
      <c r="I7" s="10">
        <v>52.0</v>
      </c>
      <c r="J7" s="10">
        <v>1.6</v>
      </c>
      <c r="K7" s="10">
        <v>2.9</v>
      </c>
      <c r="L7" s="10">
        <v>3.8</v>
      </c>
      <c r="M7" s="10" t="s">
        <v>26</v>
      </c>
      <c r="N7" s="10">
        <v>80.0</v>
      </c>
      <c r="O7" s="10">
        <v>18.0</v>
      </c>
      <c r="P7" s="10">
        <v>0.9</v>
      </c>
      <c r="Q7" s="10">
        <v>2.9</v>
      </c>
      <c r="R7" s="10">
        <v>0.3</v>
      </c>
      <c r="S7" s="10"/>
      <c r="T7" s="10"/>
      <c r="U7" s="10"/>
      <c r="V7" s="10"/>
      <c r="W7" s="10"/>
      <c r="X7" s="10"/>
      <c r="Y7" s="11">
        <v>300.0</v>
      </c>
      <c r="Z7" s="11"/>
    </row>
    <row r="8" ht="24.0" customHeight="1">
      <c r="A8" s="10" t="s">
        <v>27</v>
      </c>
      <c r="B8" s="10">
        <v>5.0</v>
      </c>
      <c r="C8" s="10">
        <v>15.0</v>
      </c>
      <c r="D8" s="10">
        <v>0.0</v>
      </c>
      <c r="E8" s="10">
        <v>3.8</v>
      </c>
      <c r="F8" s="10">
        <v>0.0</v>
      </c>
      <c r="G8" s="10" t="s">
        <v>27</v>
      </c>
      <c r="H8" s="10">
        <v>5.0</v>
      </c>
      <c r="I8" s="10">
        <v>15.0</v>
      </c>
      <c r="J8" s="10">
        <v>0.0</v>
      </c>
      <c r="K8" s="10">
        <v>3.8</v>
      </c>
      <c r="L8" s="10">
        <v>0.0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>
        <v>350.0</v>
      </c>
      <c r="Z8" s="11"/>
    </row>
    <row r="9" ht="24.0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>
        <v>150.0</v>
      </c>
      <c r="Z9" s="11"/>
    </row>
    <row r="10" ht="24.0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>
        <v>300.0</v>
      </c>
      <c r="Z10" s="11"/>
    </row>
    <row r="11" ht="24.0" customHeight="1">
      <c r="A11" s="13" t="s">
        <v>28</v>
      </c>
      <c r="B11" s="13"/>
      <c r="C11" s="13">
        <f>SUM(C4:C8)</f>
        <v>551</v>
      </c>
      <c r="D11" s="13">
        <v>18.9</v>
      </c>
      <c r="E11" s="13">
        <v>88.4</v>
      </c>
      <c r="F11" s="13">
        <v>13.6</v>
      </c>
      <c r="G11" s="14" t="s">
        <v>28</v>
      </c>
      <c r="H11" s="14"/>
      <c r="I11" s="14">
        <f>SUM(I4:I8)</f>
        <v>628</v>
      </c>
      <c r="J11" s="14">
        <v>37.9</v>
      </c>
      <c r="K11" s="14">
        <v>77.3</v>
      </c>
      <c r="L11" s="14">
        <v>37.6</v>
      </c>
      <c r="M11" s="15"/>
      <c r="N11" s="15"/>
      <c r="O11" s="15">
        <f>SUM(O4:O7)</f>
        <v>813</v>
      </c>
      <c r="P11" s="15">
        <v>30.9</v>
      </c>
      <c r="Q11" s="15">
        <v>83.4</v>
      </c>
      <c r="R11" s="15">
        <v>39.6</v>
      </c>
      <c r="S11" s="16"/>
      <c r="T11" s="16"/>
      <c r="U11" s="16">
        <f>SUM(U4:U5)</f>
        <v>311</v>
      </c>
      <c r="V11" s="16">
        <v>6.2</v>
      </c>
      <c r="W11" s="16">
        <v>54.2</v>
      </c>
      <c r="X11" s="16">
        <v>7.6</v>
      </c>
      <c r="Y11" s="17"/>
      <c r="Z11" s="17">
        <v>1900.0</v>
      </c>
    </row>
    <row r="12" ht="24.0" customHeight="1">
      <c r="A12" s="18" t="s">
        <v>29</v>
      </c>
      <c r="B12" s="18"/>
      <c r="C12" s="18">
        <f>SUM(C11,I11,O11,U11)</f>
        <v>2303</v>
      </c>
      <c r="D12" s="18">
        <v>93.9</v>
      </c>
      <c r="E12" s="18">
        <v>303.3</v>
      </c>
      <c r="F12" s="18">
        <v>98.4</v>
      </c>
      <c r="G12" s="19"/>
      <c r="H12" s="19"/>
    </row>
    <row r="13" ht="24.0" customHeight="1"/>
    <row r="14" ht="24.0" customHeight="1">
      <c r="A14" s="1" t="s">
        <v>30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3"/>
    </row>
    <row r="15" ht="24.0" customHeight="1">
      <c r="A15" s="4" t="s">
        <v>1</v>
      </c>
      <c r="B15" s="2"/>
      <c r="C15" s="2"/>
      <c r="D15" s="2"/>
      <c r="E15" s="2"/>
      <c r="F15" s="3"/>
      <c r="G15" s="5" t="s">
        <v>2</v>
      </c>
      <c r="H15" s="2"/>
      <c r="I15" s="2"/>
      <c r="J15" s="2"/>
      <c r="K15" s="2"/>
      <c r="L15" s="3"/>
      <c r="M15" s="6" t="s">
        <v>3</v>
      </c>
      <c r="N15" s="2"/>
      <c r="O15" s="2"/>
      <c r="P15" s="2"/>
      <c r="Q15" s="2"/>
      <c r="R15" s="3"/>
      <c r="S15" s="7" t="s">
        <v>4</v>
      </c>
      <c r="T15" s="2"/>
      <c r="U15" s="2"/>
      <c r="V15" s="2"/>
      <c r="W15" s="2"/>
      <c r="X15" s="3"/>
      <c r="Y15" s="8" t="s">
        <v>5</v>
      </c>
      <c r="Z15" s="3"/>
    </row>
    <row r="16" ht="24.0" customHeight="1">
      <c r="A16" s="9" t="s">
        <v>6</v>
      </c>
      <c r="B16" s="9" t="s">
        <v>7</v>
      </c>
      <c r="C16" s="9" t="s">
        <v>8</v>
      </c>
      <c r="D16" s="9" t="s">
        <v>9</v>
      </c>
      <c r="E16" s="9" t="s">
        <v>10</v>
      </c>
      <c r="F16" s="9" t="s">
        <v>11</v>
      </c>
      <c r="G16" s="9" t="s">
        <v>6</v>
      </c>
      <c r="H16" s="9" t="s">
        <v>7</v>
      </c>
      <c r="I16" s="9" t="s">
        <v>8</v>
      </c>
      <c r="J16" s="9" t="s">
        <v>9</v>
      </c>
      <c r="K16" s="9" t="s">
        <v>10</v>
      </c>
      <c r="L16" s="9" t="s">
        <v>11</v>
      </c>
      <c r="M16" s="9" t="s">
        <v>6</v>
      </c>
      <c r="N16" s="9" t="s">
        <v>7</v>
      </c>
      <c r="O16" s="9" t="s">
        <v>8</v>
      </c>
      <c r="P16" s="9" t="s">
        <v>9</v>
      </c>
      <c r="Q16" s="9" t="s">
        <v>10</v>
      </c>
      <c r="R16" s="9" t="s">
        <v>11</v>
      </c>
      <c r="S16" s="9" t="s">
        <v>6</v>
      </c>
      <c r="T16" s="9" t="s">
        <v>7</v>
      </c>
      <c r="U16" s="9" t="s">
        <v>8</v>
      </c>
      <c r="V16" s="9" t="s">
        <v>9</v>
      </c>
      <c r="W16" s="9" t="s">
        <v>10</v>
      </c>
      <c r="X16" s="9" t="s">
        <v>11</v>
      </c>
      <c r="Y16" s="9" t="s">
        <v>12</v>
      </c>
      <c r="Z16" s="9" t="s">
        <v>13</v>
      </c>
    </row>
    <row r="17" ht="24.0" customHeight="1">
      <c r="A17" s="10" t="s">
        <v>31</v>
      </c>
      <c r="B17" s="10">
        <v>40.0</v>
      </c>
      <c r="C17" s="10">
        <v>152.0</v>
      </c>
      <c r="D17" s="10">
        <v>6.1</v>
      </c>
      <c r="E17" s="10">
        <v>25.5</v>
      </c>
      <c r="F17" s="10">
        <v>2.9</v>
      </c>
      <c r="G17" s="10" t="s">
        <v>19</v>
      </c>
      <c r="H17" s="10">
        <v>3.0</v>
      </c>
      <c r="I17" s="10">
        <v>228.0</v>
      </c>
      <c r="J17" s="10">
        <v>8.0</v>
      </c>
      <c r="K17" s="10">
        <v>39.9</v>
      </c>
      <c r="L17" s="10">
        <v>4.1</v>
      </c>
      <c r="M17" s="10" t="s">
        <v>32</v>
      </c>
      <c r="N17" s="10">
        <v>320.0</v>
      </c>
      <c r="O17" s="10">
        <v>563.0</v>
      </c>
      <c r="P17" s="10">
        <v>11.3</v>
      </c>
      <c r="Q17" s="10">
        <v>126.7</v>
      </c>
      <c r="R17" s="10">
        <v>1.3</v>
      </c>
      <c r="S17" s="10" t="s">
        <v>17</v>
      </c>
      <c r="T17" s="10">
        <v>100.0</v>
      </c>
      <c r="U17" s="10">
        <v>1.0</v>
      </c>
      <c r="V17" s="10">
        <v>0.0</v>
      </c>
      <c r="W17" s="10">
        <v>0.0</v>
      </c>
      <c r="X17" s="10">
        <v>0.0</v>
      </c>
      <c r="Y17" s="11">
        <v>350.0</v>
      </c>
      <c r="Z17" s="11"/>
    </row>
    <row r="18" ht="24.0" customHeight="1">
      <c r="A18" s="10" t="s">
        <v>18</v>
      </c>
      <c r="B18" s="10">
        <v>180.0</v>
      </c>
      <c r="C18" s="10">
        <v>119.0</v>
      </c>
      <c r="D18" s="10">
        <v>6.0</v>
      </c>
      <c r="E18" s="10">
        <v>8.9</v>
      </c>
      <c r="F18" s="10">
        <v>6.6</v>
      </c>
      <c r="G18" s="10" t="s">
        <v>22</v>
      </c>
      <c r="H18" s="10">
        <v>1.0</v>
      </c>
      <c r="I18" s="12">
        <v>120.0</v>
      </c>
      <c r="J18" s="10">
        <v>20.3</v>
      </c>
      <c r="K18" s="10">
        <v>1.4</v>
      </c>
      <c r="L18" s="10">
        <v>22.6</v>
      </c>
      <c r="M18" s="10" t="s">
        <v>33</v>
      </c>
      <c r="N18" s="10">
        <v>180.0</v>
      </c>
      <c r="O18" s="10">
        <v>31.0</v>
      </c>
      <c r="P18" s="10">
        <v>1.7</v>
      </c>
      <c r="Q18" s="10">
        <v>5.4</v>
      </c>
      <c r="R18" s="10">
        <v>0.3</v>
      </c>
      <c r="S18" s="10" t="s">
        <v>34</v>
      </c>
      <c r="T18" s="10">
        <v>1.0</v>
      </c>
      <c r="U18" s="10">
        <v>109.0</v>
      </c>
      <c r="V18" s="10">
        <v>1.4</v>
      </c>
      <c r="W18" s="10">
        <v>16.9</v>
      </c>
      <c r="X18" s="10">
        <v>4.0</v>
      </c>
      <c r="Y18" s="11">
        <v>150.0</v>
      </c>
      <c r="Z18" s="11"/>
    </row>
    <row r="19" ht="24.0" customHeight="1">
      <c r="A19" s="10" t="s">
        <v>35</v>
      </c>
      <c r="B19" s="10">
        <v>20.0</v>
      </c>
      <c r="C19" s="10">
        <v>69.0</v>
      </c>
      <c r="D19" s="10">
        <v>0.5</v>
      </c>
      <c r="E19" s="10">
        <v>16.6</v>
      </c>
      <c r="F19" s="10">
        <v>0.1</v>
      </c>
      <c r="G19" s="10" t="s">
        <v>24</v>
      </c>
      <c r="H19" s="10">
        <v>2.0</v>
      </c>
      <c r="I19" s="10">
        <v>5.0</v>
      </c>
      <c r="J19" s="10">
        <v>0.0</v>
      </c>
      <c r="K19" s="10">
        <v>1.2</v>
      </c>
      <c r="L19" s="10">
        <v>0.0</v>
      </c>
      <c r="M19" s="10" t="s">
        <v>36</v>
      </c>
      <c r="N19" s="10">
        <v>120.0</v>
      </c>
      <c r="O19" s="10">
        <v>89.0</v>
      </c>
      <c r="P19" s="10">
        <v>10.0</v>
      </c>
      <c r="Q19" s="10">
        <v>0.0</v>
      </c>
      <c r="R19" s="10">
        <v>5.4</v>
      </c>
      <c r="S19" s="10" t="s">
        <v>37</v>
      </c>
      <c r="T19" s="10">
        <v>150.0</v>
      </c>
      <c r="U19" s="10">
        <v>72.0</v>
      </c>
      <c r="V19" s="10">
        <v>0.0</v>
      </c>
      <c r="W19" s="10">
        <v>18.0</v>
      </c>
      <c r="X19" s="10">
        <v>0.0</v>
      </c>
      <c r="Y19" s="11">
        <v>150.0</v>
      </c>
      <c r="Z19" s="11"/>
    </row>
    <row r="20" ht="24.0" customHeight="1">
      <c r="A20" s="10" t="s">
        <v>38</v>
      </c>
      <c r="B20" s="10">
        <v>4.0</v>
      </c>
      <c r="C20" s="10">
        <v>22.0</v>
      </c>
      <c r="D20" s="10">
        <v>0.2</v>
      </c>
      <c r="E20" s="10">
        <v>1.0</v>
      </c>
      <c r="F20" s="10">
        <v>1.9</v>
      </c>
      <c r="G20" s="10" t="s">
        <v>39</v>
      </c>
      <c r="H20" s="10">
        <v>30.0</v>
      </c>
      <c r="I20" s="10">
        <v>115.0</v>
      </c>
      <c r="J20" s="10">
        <v>6.6</v>
      </c>
      <c r="K20" s="10">
        <v>2.3</v>
      </c>
      <c r="L20" s="10">
        <v>8.8</v>
      </c>
      <c r="M20" s="10" t="s">
        <v>26</v>
      </c>
      <c r="N20" s="10">
        <v>30.0</v>
      </c>
      <c r="O20" s="10">
        <v>7.0</v>
      </c>
      <c r="P20" s="10">
        <v>0.4</v>
      </c>
      <c r="Q20" s="10">
        <v>1.1</v>
      </c>
      <c r="R20" s="10">
        <v>0.1</v>
      </c>
      <c r="S20" s="10" t="s">
        <v>40</v>
      </c>
      <c r="T20" s="10">
        <v>45.0</v>
      </c>
      <c r="U20" s="10">
        <v>250.0</v>
      </c>
      <c r="V20" s="10">
        <v>3.8</v>
      </c>
      <c r="W20" s="10">
        <v>30.0</v>
      </c>
      <c r="X20" s="10">
        <v>12.8</v>
      </c>
      <c r="Y20" s="11">
        <v>350.0</v>
      </c>
      <c r="Z20" s="11"/>
    </row>
    <row r="21" ht="24.0" customHeight="1">
      <c r="A21" s="10" t="s">
        <v>41</v>
      </c>
      <c r="B21" s="10">
        <v>10.0</v>
      </c>
      <c r="C21" s="10">
        <v>44.0</v>
      </c>
      <c r="D21" s="10">
        <v>1.5</v>
      </c>
      <c r="E21" s="10">
        <v>2.0</v>
      </c>
      <c r="F21" s="10">
        <v>3.3</v>
      </c>
      <c r="G21" s="10" t="s">
        <v>42</v>
      </c>
      <c r="H21" s="10">
        <v>1.0</v>
      </c>
      <c r="I21" s="10">
        <v>216.0</v>
      </c>
      <c r="J21" s="10">
        <v>18.9</v>
      </c>
      <c r="K21" s="10">
        <v>0.0</v>
      </c>
      <c r="L21" s="10">
        <v>15.6</v>
      </c>
      <c r="M21" s="10" t="s">
        <v>43</v>
      </c>
      <c r="N21" s="10">
        <v>140.0</v>
      </c>
      <c r="O21" s="10">
        <v>188.0</v>
      </c>
      <c r="P21" s="10">
        <v>7.5</v>
      </c>
      <c r="Q21" s="10">
        <v>6.6</v>
      </c>
      <c r="R21" s="10">
        <v>14.6</v>
      </c>
      <c r="S21" s="10"/>
      <c r="T21" s="10"/>
      <c r="U21" s="10"/>
      <c r="V21" s="10"/>
      <c r="W21" s="10"/>
      <c r="X21" s="10"/>
      <c r="Y21" s="11">
        <v>150.0</v>
      </c>
      <c r="Z21" s="11"/>
    </row>
    <row r="22" ht="24.0" customHeight="1">
      <c r="A22" s="10" t="s">
        <v>19</v>
      </c>
      <c r="B22" s="10">
        <v>2.0</v>
      </c>
      <c r="C22" s="10">
        <v>152.0</v>
      </c>
      <c r="D22" s="10">
        <v>5.3</v>
      </c>
      <c r="E22" s="10">
        <v>26.6</v>
      </c>
      <c r="F22" s="10">
        <v>2.7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>
        <v>350.0</v>
      </c>
      <c r="Z22" s="11"/>
    </row>
    <row r="23" ht="24.0" customHeight="1">
      <c r="A23" s="10" t="s">
        <v>24</v>
      </c>
      <c r="B23" s="10">
        <v>2.0</v>
      </c>
      <c r="C23" s="10">
        <v>5.0</v>
      </c>
      <c r="D23" s="10">
        <v>0.0</v>
      </c>
      <c r="E23" s="10">
        <v>1.2</v>
      </c>
      <c r="F23" s="10">
        <v>0.0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  <c r="Z23" s="11"/>
    </row>
    <row r="24" ht="24.0" customHeight="1">
      <c r="A24" s="10" t="s">
        <v>27</v>
      </c>
      <c r="B24" s="10">
        <v>5.0</v>
      </c>
      <c r="C24" s="10">
        <v>15.0</v>
      </c>
      <c r="D24" s="10">
        <v>0.0</v>
      </c>
      <c r="E24" s="10">
        <v>3.8</v>
      </c>
      <c r="F24" s="10">
        <v>0.0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  <c r="Z24" s="11"/>
    </row>
    <row r="25" ht="24.0" customHeight="1">
      <c r="A25" s="10" t="s">
        <v>44</v>
      </c>
      <c r="B25" s="10">
        <v>1.0</v>
      </c>
      <c r="C25" s="10">
        <v>15.0</v>
      </c>
      <c r="D25" s="10">
        <v>0.1</v>
      </c>
      <c r="E25" s="10">
        <v>3.6</v>
      </c>
      <c r="F25" s="10">
        <v>0.0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  <c r="Z25" s="11"/>
    </row>
    <row r="26" ht="24.0" customHeight="1">
      <c r="A26" s="13" t="s">
        <v>28</v>
      </c>
      <c r="B26" s="13"/>
      <c r="C26" s="13">
        <f>SUM(C17:C25)</f>
        <v>593</v>
      </c>
      <c r="D26" s="13">
        <v>19.7</v>
      </c>
      <c r="E26" s="13">
        <v>89.2</v>
      </c>
      <c r="F26" s="13">
        <v>17.5</v>
      </c>
      <c r="G26" s="14"/>
      <c r="H26" s="14"/>
      <c r="I26" s="14">
        <f>SUM(I17:I21)</f>
        <v>684</v>
      </c>
      <c r="J26" s="14">
        <v>53.8</v>
      </c>
      <c r="K26" s="14">
        <v>44.8</v>
      </c>
      <c r="L26" s="14">
        <v>51.1</v>
      </c>
      <c r="M26" s="15"/>
      <c r="N26" s="15"/>
      <c r="O26" s="15">
        <f>SUM(O17:O21)</f>
        <v>878</v>
      </c>
      <c r="P26" s="15">
        <v>30.9</v>
      </c>
      <c r="Q26" s="15">
        <v>139.8</v>
      </c>
      <c r="R26" s="15">
        <v>21.7</v>
      </c>
      <c r="S26" s="16"/>
      <c r="T26" s="16"/>
      <c r="U26" s="16">
        <f>SUM(U17:U20)</f>
        <v>432</v>
      </c>
      <c r="V26" s="16">
        <v>5.2</v>
      </c>
      <c r="W26" s="16">
        <v>64.9</v>
      </c>
      <c r="X26" s="16">
        <v>16.8</v>
      </c>
      <c r="Y26" s="17"/>
      <c r="Z26" s="17">
        <v>1500.0</v>
      </c>
    </row>
    <row r="27" ht="24.0" customHeight="1">
      <c r="A27" s="18" t="s">
        <v>29</v>
      </c>
      <c r="B27" s="18"/>
      <c r="C27" s="18">
        <f>SUM(C26,I26,O26,U26)</f>
        <v>2587</v>
      </c>
      <c r="D27" s="18">
        <v>109.6</v>
      </c>
      <c r="E27" s="18">
        <v>338.7</v>
      </c>
      <c r="F27" s="18">
        <v>107.1</v>
      </c>
      <c r="G27" s="19"/>
      <c r="H27" s="19"/>
    </row>
    <row r="28" ht="24.0" customHeight="1"/>
    <row r="29" ht="24.0" customHeight="1">
      <c r="A29" s="1" t="s">
        <v>45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3"/>
    </row>
    <row r="30" ht="24.0" customHeight="1">
      <c r="A30" s="4" t="s">
        <v>1</v>
      </c>
      <c r="B30" s="2"/>
      <c r="C30" s="2"/>
      <c r="D30" s="2"/>
      <c r="E30" s="2"/>
      <c r="F30" s="3"/>
      <c r="G30" s="5" t="s">
        <v>2</v>
      </c>
      <c r="H30" s="2"/>
      <c r="I30" s="2"/>
      <c r="J30" s="2"/>
      <c r="K30" s="2"/>
      <c r="L30" s="3"/>
      <c r="M30" s="6" t="s">
        <v>3</v>
      </c>
      <c r="N30" s="2"/>
      <c r="O30" s="2"/>
      <c r="P30" s="2"/>
      <c r="Q30" s="2"/>
      <c r="R30" s="3"/>
      <c r="S30" s="7" t="s">
        <v>4</v>
      </c>
      <c r="T30" s="2"/>
      <c r="U30" s="2"/>
      <c r="V30" s="2"/>
      <c r="W30" s="2"/>
      <c r="X30" s="3"/>
      <c r="Y30" s="8" t="s">
        <v>5</v>
      </c>
      <c r="Z30" s="3"/>
    </row>
    <row r="31" ht="24.0" customHeight="1">
      <c r="A31" s="9" t="s">
        <v>6</v>
      </c>
      <c r="B31" s="9" t="s">
        <v>7</v>
      </c>
      <c r="C31" s="9" t="s">
        <v>8</v>
      </c>
      <c r="D31" s="9" t="s">
        <v>9</v>
      </c>
      <c r="E31" s="9" t="s">
        <v>10</v>
      </c>
      <c r="F31" s="9" t="s">
        <v>11</v>
      </c>
      <c r="G31" s="9" t="s">
        <v>6</v>
      </c>
      <c r="H31" s="9" t="s">
        <v>7</v>
      </c>
      <c r="I31" s="9" t="s">
        <v>8</v>
      </c>
      <c r="J31" s="9" t="s">
        <v>9</v>
      </c>
      <c r="K31" s="9" t="s">
        <v>10</v>
      </c>
      <c r="L31" s="9" t="s">
        <v>11</v>
      </c>
      <c r="M31" s="9" t="s">
        <v>6</v>
      </c>
      <c r="N31" s="9" t="s">
        <v>7</v>
      </c>
      <c r="O31" s="9" t="s">
        <v>8</v>
      </c>
      <c r="P31" s="9" t="s">
        <v>9</v>
      </c>
      <c r="Q31" s="9" t="s">
        <v>10</v>
      </c>
      <c r="R31" s="9" t="s">
        <v>11</v>
      </c>
      <c r="S31" s="9" t="s">
        <v>6</v>
      </c>
      <c r="T31" s="9" t="s">
        <v>7</v>
      </c>
      <c r="U31" s="9" t="s">
        <v>8</v>
      </c>
      <c r="V31" s="9" t="s">
        <v>9</v>
      </c>
      <c r="W31" s="9" t="s">
        <v>10</v>
      </c>
      <c r="X31" s="9" t="s">
        <v>11</v>
      </c>
      <c r="Y31" s="9" t="s">
        <v>12</v>
      </c>
      <c r="Z31" s="9" t="s">
        <v>13</v>
      </c>
    </row>
    <row r="32" ht="24.0" customHeight="1">
      <c r="A32" s="10" t="s">
        <v>14</v>
      </c>
      <c r="B32" s="10">
        <v>40.0</v>
      </c>
      <c r="C32" s="12">
        <v>180.0</v>
      </c>
      <c r="D32" s="10">
        <v>10.8</v>
      </c>
      <c r="E32" s="10">
        <v>64.8</v>
      </c>
      <c r="F32" s="10">
        <v>6.4</v>
      </c>
      <c r="G32" s="10" t="s">
        <v>15</v>
      </c>
      <c r="H32" s="10">
        <v>210.0</v>
      </c>
      <c r="I32" s="10">
        <v>109.0</v>
      </c>
      <c r="J32" s="10">
        <v>4.1</v>
      </c>
      <c r="K32" s="10">
        <v>15.0</v>
      </c>
      <c r="L32" s="10">
        <v>3.6</v>
      </c>
      <c r="M32" s="10" t="s">
        <v>15</v>
      </c>
      <c r="N32" s="10">
        <v>210.0</v>
      </c>
      <c r="O32" s="10">
        <v>109.0</v>
      </c>
      <c r="P32" s="10">
        <v>4.1</v>
      </c>
      <c r="Q32" s="10">
        <v>15.0</v>
      </c>
      <c r="R32" s="10">
        <v>3.6</v>
      </c>
      <c r="S32" s="10" t="s">
        <v>17</v>
      </c>
      <c r="T32" s="10">
        <v>100.0</v>
      </c>
      <c r="U32" s="10">
        <v>1.0</v>
      </c>
      <c r="V32" s="10">
        <v>0.0</v>
      </c>
      <c r="W32" s="10">
        <v>0.0</v>
      </c>
      <c r="X32" s="10">
        <v>0.0</v>
      </c>
      <c r="Y32" s="11">
        <v>150.0</v>
      </c>
      <c r="Z32" s="11"/>
    </row>
    <row r="33" ht="24.0" customHeight="1">
      <c r="A33" s="10" t="s">
        <v>38</v>
      </c>
      <c r="B33" s="10">
        <v>3.0</v>
      </c>
      <c r="C33" s="10">
        <v>16.0</v>
      </c>
      <c r="D33" s="10">
        <v>0.2</v>
      </c>
      <c r="E33" s="10">
        <v>0.7</v>
      </c>
      <c r="F33" s="10">
        <v>1.4</v>
      </c>
      <c r="G33" s="10" t="s">
        <v>19</v>
      </c>
      <c r="H33" s="10">
        <v>2.0</v>
      </c>
      <c r="I33" s="10">
        <v>152.0</v>
      </c>
      <c r="J33" s="10">
        <v>5.3</v>
      </c>
      <c r="K33" s="10">
        <v>26.6</v>
      </c>
      <c r="L33" s="10">
        <v>2.7</v>
      </c>
      <c r="M33" s="10" t="s">
        <v>46</v>
      </c>
      <c r="N33" s="12">
        <v>350.0</v>
      </c>
      <c r="O33" s="12">
        <v>1200.0</v>
      </c>
      <c r="P33" s="10">
        <v>75.8</v>
      </c>
      <c r="Q33" s="10">
        <v>227.4</v>
      </c>
      <c r="R33" s="10">
        <v>75.8</v>
      </c>
      <c r="S33" s="10" t="s">
        <v>47</v>
      </c>
      <c r="T33" s="10">
        <v>1.0</v>
      </c>
      <c r="U33" s="10">
        <v>70.0</v>
      </c>
      <c r="V33" s="10">
        <v>1.1</v>
      </c>
      <c r="W33" s="10">
        <v>10.8</v>
      </c>
      <c r="X33" s="10">
        <v>2.5</v>
      </c>
      <c r="Y33" s="11">
        <v>350.0</v>
      </c>
      <c r="Z33" s="11"/>
    </row>
    <row r="34" ht="24.0" customHeight="1">
      <c r="A34" s="10" t="s">
        <v>18</v>
      </c>
      <c r="B34" s="10">
        <v>160.0</v>
      </c>
      <c r="C34" s="10">
        <v>106.0</v>
      </c>
      <c r="D34" s="10">
        <v>5.3</v>
      </c>
      <c r="E34" s="10">
        <v>7.9</v>
      </c>
      <c r="F34" s="10">
        <v>5.9</v>
      </c>
      <c r="G34" s="10" t="s">
        <v>48</v>
      </c>
      <c r="H34" s="10">
        <v>15.0</v>
      </c>
      <c r="I34" s="10">
        <v>14.0</v>
      </c>
      <c r="J34" s="10">
        <v>2.2</v>
      </c>
      <c r="K34" s="10">
        <v>0.1</v>
      </c>
      <c r="L34" s="10">
        <v>0.5</v>
      </c>
      <c r="M34" s="10" t="s">
        <v>49</v>
      </c>
      <c r="N34" s="10">
        <v>200.0</v>
      </c>
      <c r="O34" s="10">
        <v>72.0</v>
      </c>
      <c r="P34" s="10">
        <v>0.0</v>
      </c>
      <c r="Q34" s="10">
        <v>18.0</v>
      </c>
      <c r="R34" s="10">
        <v>0.0</v>
      </c>
      <c r="S34" s="10" t="s">
        <v>44</v>
      </c>
      <c r="T34" s="10">
        <v>1.0</v>
      </c>
      <c r="U34" s="10">
        <v>16.0</v>
      </c>
      <c r="V34" s="10">
        <v>0.1</v>
      </c>
      <c r="W34" s="10">
        <v>3.8</v>
      </c>
      <c r="X34" s="10">
        <v>0.0</v>
      </c>
      <c r="Y34" s="11">
        <v>300.0</v>
      </c>
      <c r="Z34" s="11"/>
    </row>
    <row r="35" ht="24.0" customHeight="1">
      <c r="A35" s="10" t="s">
        <v>19</v>
      </c>
      <c r="B35" s="10">
        <v>2.0</v>
      </c>
      <c r="C35" s="10">
        <v>152.0</v>
      </c>
      <c r="D35" s="10">
        <v>5.3</v>
      </c>
      <c r="E35" s="10">
        <v>26.6</v>
      </c>
      <c r="F35" s="10">
        <v>2.7</v>
      </c>
      <c r="G35" s="10" t="s">
        <v>50</v>
      </c>
      <c r="H35" s="10">
        <v>1.0</v>
      </c>
      <c r="I35" s="10">
        <v>72.0</v>
      </c>
      <c r="J35" s="10">
        <v>6.3</v>
      </c>
      <c r="K35" s="10">
        <v>0.5</v>
      </c>
      <c r="L35" s="10">
        <v>5.0</v>
      </c>
      <c r="M35" s="10"/>
      <c r="N35" s="10"/>
      <c r="O35" s="10"/>
      <c r="P35" s="10"/>
      <c r="Q35" s="10"/>
      <c r="R35" s="10"/>
      <c r="S35" s="10" t="s">
        <v>51</v>
      </c>
      <c r="T35" s="10">
        <v>1.0</v>
      </c>
      <c r="U35" s="10">
        <v>275.0</v>
      </c>
      <c r="V35" s="10">
        <v>3.4</v>
      </c>
      <c r="W35" s="10">
        <v>35.8</v>
      </c>
      <c r="X35" s="10">
        <v>13.1</v>
      </c>
      <c r="Y35" s="11">
        <v>300.0</v>
      </c>
      <c r="Z35" s="11"/>
    </row>
    <row r="36" ht="24.0" customHeight="1">
      <c r="A36" s="10" t="s">
        <v>24</v>
      </c>
      <c r="B36" s="10">
        <v>2.0</v>
      </c>
      <c r="C36" s="10">
        <v>5.0</v>
      </c>
      <c r="D36" s="10">
        <v>0.0</v>
      </c>
      <c r="E36" s="10">
        <v>1.2</v>
      </c>
      <c r="F36" s="10">
        <v>0.0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>
        <v>200.0</v>
      </c>
      <c r="Z36" s="11"/>
    </row>
    <row r="37" ht="24.0" customHeight="1">
      <c r="A37" s="10" t="s">
        <v>27</v>
      </c>
      <c r="B37" s="10">
        <v>5.0</v>
      </c>
      <c r="C37" s="10">
        <v>15.0</v>
      </c>
      <c r="D37" s="10">
        <v>0.0</v>
      </c>
      <c r="E37" s="10">
        <v>3.8</v>
      </c>
      <c r="F37" s="10">
        <v>0.0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1">
        <v>300.0</v>
      </c>
      <c r="Z37" s="11"/>
    </row>
    <row r="38" ht="24.0" customHeight="1">
      <c r="A38" s="10" t="s">
        <v>41</v>
      </c>
      <c r="B38" s="10">
        <v>12.0</v>
      </c>
      <c r="C38" s="10">
        <v>53.0</v>
      </c>
      <c r="D38" s="10">
        <v>1.9</v>
      </c>
      <c r="E38" s="10">
        <v>2.4</v>
      </c>
      <c r="F38" s="10">
        <v>4.0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1"/>
      <c r="Z38" s="11"/>
    </row>
    <row r="39" ht="24.0" customHeight="1">
      <c r="A39" s="13" t="s">
        <v>28</v>
      </c>
      <c r="B39" s="13"/>
      <c r="C39" s="13">
        <f>SUM(C32:C38)</f>
        <v>527</v>
      </c>
      <c r="D39" s="13">
        <v>23.5</v>
      </c>
      <c r="E39" s="13">
        <v>107.4</v>
      </c>
      <c r="F39" s="13">
        <v>20.4</v>
      </c>
      <c r="G39" s="14" t="s">
        <v>28</v>
      </c>
      <c r="H39" s="14"/>
      <c r="I39" s="14">
        <f>SUM(I32:I35)</f>
        <v>347</v>
      </c>
      <c r="J39" s="14">
        <v>17.9</v>
      </c>
      <c r="K39" s="14">
        <v>42.2</v>
      </c>
      <c r="L39" s="14">
        <v>11.8</v>
      </c>
      <c r="M39" s="15" t="s">
        <v>28</v>
      </c>
      <c r="N39" s="15"/>
      <c r="O39" s="15">
        <f>SUM(O32:O34)</f>
        <v>1381</v>
      </c>
      <c r="P39" s="15">
        <v>79.9</v>
      </c>
      <c r="Q39" s="15">
        <v>260.4</v>
      </c>
      <c r="R39" s="15">
        <v>79.4</v>
      </c>
      <c r="S39" s="16" t="s">
        <v>28</v>
      </c>
      <c r="T39" s="16"/>
      <c r="U39" s="16">
        <f>SUM(U32:U35)</f>
        <v>362</v>
      </c>
      <c r="V39" s="16">
        <v>4.6</v>
      </c>
      <c r="W39" s="16">
        <v>50.4</v>
      </c>
      <c r="X39" s="16">
        <v>15.6</v>
      </c>
      <c r="Y39" s="17" t="s">
        <v>28</v>
      </c>
      <c r="Z39" s="17">
        <v>1600.0</v>
      </c>
    </row>
    <row r="40" ht="24.0" customHeight="1">
      <c r="A40" s="18" t="s">
        <v>29</v>
      </c>
      <c r="B40" s="18"/>
      <c r="C40" s="18">
        <f>SUM(C39,I39,O39,U39)</f>
        <v>2617</v>
      </c>
      <c r="D40" s="18">
        <v>125.9</v>
      </c>
      <c r="E40" s="18">
        <v>460.4</v>
      </c>
      <c r="F40" s="18">
        <v>127.2</v>
      </c>
      <c r="G40" s="18"/>
      <c r="H40" s="18"/>
    </row>
    <row r="41" ht="24.0" customHeight="1"/>
    <row r="42" ht="24.0" customHeight="1">
      <c r="A42" s="1" t="s">
        <v>52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3"/>
    </row>
    <row r="43" ht="24.0" customHeight="1">
      <c r="A43" s="4" t="s">
        <v>1</v>
      </c>
      <c r="B43" s="2"/>
      <c r="C43" s="2"/>
      <c r="D43" s="2"/>
      <c r="E43" s="2"/>
      <c r="F43" s="3"/>
      <c r="G43" s="5" t="s">
        <v>2</v>
      </c>
      <c r="H43" s="2"/>
      <c r="I43" s="2"/>
      <c r="J43" s="2"/>
      <c r="K43" s="2"/>
      <c r="L43" s="3"/>
      <c r="M43" s="6" t="s">
        <v>3</v>
      </c>
      <c r="N43" s="2"/>
      <c r="O43" s="2"/>
      <c r="P43" s="2"/>
      <c r="Q43" s="2"/>
      <c r="R43" s="3"/>
      <c r="S43" s="7" t="s">
        <v>4</v>
      </c>
      <c r="T43" s="2"/>
      <c r="U43" s="2"/>
      <c r="V43" s="2"/>
      <c r="W43" s="2"/>
      <c r="X43" s="3"/>
      <c r="Y43" s="8" t="s">
        <v>5</v>
      </c>
      <c r="Z43" s="3"/>
    </row>
    <row r="44" ht="24.0" customHeight="1">
      <c r="A44" s="9" t="s">
        <v>6</v>
      </c>
      <c r="B44" s="9" t="s">
        <v>7</v>
      </c>
      <c r="C44" s="9" t="s">
        <v>8</v>
      </c>
      <c r="D44" s="9" t="s">
        <v>9</v>
      </c>
      <c r="E44" s="9" t="s">
        <v>10</v>
      </c>
      <c r="F44" s="9" t="s">
        <v>11</v>
      </c>
      <c r="G44" s="9" t="s">
        <v>6</v>
      </c>
      <c r="H44" s="9" t="s">
        <v>7</v>
      </c>
      <c r="I44" s="9" t="s">
        <v>8</v>
      </c>
      <c r="J44" s="9" t="s">
        <v>9</v>
      </c>
      <c r="K44" s="9" t="s">
        <v>10</v>
      </c>
      <c r="L44" s="9" t="s">
        <v>11</v>
      </c>
      <c r="M44" s="9" t="s">
        <v>6</v>
      </c>
      <c r="N44" s="9" t="s">
        <v>7</v>
      </c>
      <c r="O44" s="9" t="s">
        <v>8</v>
      </c>
      <c r="P44" s="9" t="s">
        <v>9</v>
      </c>
      <c r="Q44" s="9" t="s">
        <v>10</v>
      </c>
      <c r="R44" s="9" t="s">
        <v>11</v>
      </c>
      <c r="S44" s="9" t="s">
        <v>6</v>
      </c>
      <c r="T44" s="9" t="s">
        <v>7</v>
      </c>
      <c r="U44" s="9" t="s">
        <v>8</v>
      </c>
      <c r="V44" s="9" t="s">
        <v>9</v>
      </c>
      <c r="W44" s="9" t="s">
        <v>10</v>
      </c>
      <c r="X44" s="9" t="s">
        <v>11</v>
      </c>
      <c r="Y44" s="9" t="s">
        <v>12</v>
      </c>
      <c r="Z44" s="9" t="s">
        <v>13</v>
      </c>
    </row>
    <row r="45" ht="24.0" customHeight="1">
      <c r="A45" s="10" t="s">
        <v>31</v>
      </c>
      <c r="B45" s="10">
        <v>60.0</v>
      </c>
      <c r="C45" s="10">
        <v>224.0</v>
      </c>
      <c r="D45" s="10">
        <v>9.0</v>
      </c>
      <c r="E45" s="10">
        <v>37.5</v>
      </c>
      <c r="F45" s="10">
        <v>4.2</v>
      </c>
      <c r="G45" s="10"/>
      <c r="H45" s="10"/>
      <c r="I45" s="10"/>
      <c r="J45" s="10"/>
      <c r="K45" s="10"/>
      <c r="L45" s="10"/>
      <c r="M45" s="10" t="s">
        <v>53</v>
      </c>
      <c r="N45" s="10">
        <v>677.0</v>
      </c>
      <c r="O45" s="12">
        <v>750.0</v>
      </c>
      <c r="P45" s="10">
        <v>31.7</v>
      </c>
      <c r="Q45" s="10">
        <v>151.1</v>
      </c>
      <c r="R45" s="10">
        <v>27.1</v>
      </c>
      <c r="S45" s="10" t="s">
        <v>17</v>
      </c>
      <c r="T45" s="10">
        <v>100.0</v>
      </c>
      <c r="U45" s="10">
        <v>1.0</v>
      </c>
      <c r="V45" s="10">
        <v>0.0</v>
      </c>
      <c r="W45" s="10">
        <v>0.0</v>
      </c>
      <c r="X45" s="10">
        <v>0.0</v>
      </c>
      <c r="Y45" s="11">
        <v>280.0</v>
      </c>
      <c r="Z45" s="11"/>
    </row>
    <row r="46" ht="24.0" customHeight="1">
      <c r="A46" s="10" t="s">
        <v>18</v>
      </c>
      <c r="B46" s="10">
        <v>185.0</v>
      </c>
      <c r="C46" s="10">
        <v>122.0</v>
      </c>
      <c r="D46" s="10">
        <v>6.1</v>
      </c>
      <c r="E46" s="10">
        <v>9.2</v>
      </c>
      <c r="F46" s="10">
        <v>6.8</v>
      </c>
      <c r="G46" s="10"/>
      <c r="H46" s="10"/>
      <c r="I46" s="10"/>
      <c r="J46" s="10"/>
      <c r="K46" s="10"/>
      <c r="L46" s="10"/>
      <c r="M46" s="10" t="s">
        <v>26</v>
      </c>
      <c r="N46" s="10">
        <v>65.0</v>
      </c>
      <c r="O46" s="10">
        <v>14.0</v>
      </c>
      <c r="P46" s="10">
        <v>0.7</v>
      </c>
      <c r="Q46" s="10">
        <v>2.3</v>
      </c>
      <c r="R46" s="10">
        <v>0.2</v>
      </c>
      <c r="S46" s="10" t="s">
        <v>51</v>
      </c>
      <c r="T46" s="10">
        <v>1.0</v>
      </c>
      <c r="U46" s="10">
        <v>275.0</v>
      </c>
      <c r="V46" s="10">
        <v>3.4</v>
      </c>
      <c r="W46" s="10">
        <v>35.8</v>
      </c>
      <c r="X46" s="10">
        <v>13.1</v>
      </c>
      <c r="Y46" s="11">
        <v>150.0</v>
      </c>
      <c r="Z46" s="11"/>
    </row>
    <row r="47" ht="24.0" customHeight="1">
      <c r="A47" s="10" t="s">
        <v>35</v>
      </c>
      <c r="B47" s="10">
        <v>25.0</v>
      </c>
      <c r="C47" s="10">
        <v>86.0</v>
      </c>
      <c r="D47" s="10">
        <v>0.6</v>
      </c>
      <c r="E47" s="10">
        <v>20.6</v>
      </c>
      <c r="F47" s="10">
        <v>0.1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 t="s">
        <v>47</v>
      </c>
      <c r="T47" s="10">
        <v>1.0</v>
      </c>
      <c r="U47" s="10">
        <v>70.0</v>
      </c>
      <c r="V47" s="10">
        <v>1.1</v>
      </c>
      <c r="W47" s="10">
        <v>10.8</v>
      </c>
      <c r="X47" s="10">
        <v>2.5</v>
      </c>
      <c r="Y47" s="11">
        <v>250.0</v>
      </c>
      <c r="Z47" s="11"/>
    </row>
    <row r="48" ht="24.0" customHeight="1">
      <c r="A48" s="10" t="s">
        <v>38</v>
      </c>
      <c r="B48" s="10">
        <v>5.0</v>
      </c>
      <c r="C48" s="10">
        <v>27.0</v>
      </c>
      <c r="D48" s="10">
        <v>0.3</v>
      </c>
      <c r="E48" s="10">
        <v>1.2</v>
      </c>
      <c r="F48" s="10">
        <v>2.3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1"/>
      <c r="Z48" s="11"/>
    </row>
    <row r="49" ht="24.0" customHeight="1">
      <c r="A49" s="10" t="s">
        <v>19</v>
      </c>
      <c r="B49" s="10">
        <v>3.0</v>
      </c>
      <c r="C49" s="10">
        <v>228.0</v>
      </c>
      <c r="D49" s="10">
        <v>8.0</v>
      </c>
      <c r="E49" s="10">
        <v>39.9</v>
      </c>
      <c r="F49" s="10">
        <v>4.1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1"/>
      <c r="Z49" s="11"/>
    </row>
    <row r="50" ht="24.0" customHeight="1">
      <c r="A50" s="10" t="s">
        <v>54</v>
      </c>
      <c r="B50" s="10">
        <v>15.0</v>
      </c>
      <c r="C50" s="10">
        <v>92.0</v>
      </c>
      <c r="D50" s="10">
        <v>3.9</v>
      </c>
      <c r="E50" s="10">
        <v>2.8</v>
      </c>
      <c r="F50" s="10">
        <v>7.3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1"/>
      <c r="Z50" s="11"/>
    </row>
    <row r="51" ht="24.0" customHeight="1">
      <c r="A51" s="10" t="s">
        <v>24</v>
      </c>
      <c r="B51" s="10">
        <v>2.0</v>
      </c>
      <c r="C51" s="10">
        <v>5.0</v>
      </c>
      <c r="D51" s="10">
        <v>0.0</v>
      </c>
      <c r="E51" s="10">
        <v>1.2</v>
      </c>
      <c r="F51" s="10">
        <v>0.0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1"/>
      <c r="Z51" s="11"/>
    </row>
    <row r="52" ht="24.0" customHeight="1">
      <c r="A52" s="10" t="s">
        <v>27</v>
      </c>
      <c r="B52" s="10">
        <v>5.0</v>
      </c>
      <c r="C52" s="10">
        <v>15.0</v>
      </c>
      <c r="D52" s="10">
        <v>0.0</v>
      </c>
      <c r="E52" s="10">
        <v>3.8</v>
      </c>
      <c r="F52" s="10">
        <v>0.0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1"/>
      <c r="Z52" s="11"/>
    </row>
    <row r="53" ht="24.0" customHeight="1">
      <c r="A53" s="13" t="s">
        <v>28</v>
      </c>
      <c r="B53" s="13"/>
      <c r="C53" s="13">
        <f>SUM(C45:C52)</f>
        <v>799</v>
      </c>
      <c r="D53" s="13">
        <v>27.9</v>
      </c>
      <c r="E53" s="13">
        <v>116.2</v>
      </c>
      <c r="F53" s="13">
        <v>24.8</v>
      </c>
      <c r="G53" s="14" t="s">
        <v>28</v>
      </c>
      <c r="H53" s="14"/>
      <c r="I53" s="14">
        <v>0.0</v>
      </c>
      <c r="J53" s="14">
        <v>0.0</v>
      </c>
      <c r="K53" s="14">
        <v>0.0</v>
      </c>
      <c r="L53" s="14">
        <v>0.0</v>
      </c>
      <c r="M53" s="15" t="s">
        <v>28</v>
      </c>
      <c r="N53" s="15"/>
      <c r="O53" s="15">
        <f>SUM(O45:O46)</f>
        <v>764</v>
      </c>
      <c r="P53" s="15">
        <v>32.4</v>
      </c>
      <c r="Q53" s="15">
        <v>153.4</v>
      </c>
      <c r="R53" s="15">
        <v>27.3</v>
      </c>
      <c r="S53" s="16" t="s">
        <v>28</v>
      </c>
      <c r="T53" s="16"/>
      <c r="U53" s="16">
        <f>SUM(U45:U47)</f>
        <v>346</v>
      </c>
      <c r="V53" s="16">
        <v>4.5</v>
      </c>
      <c r="W53" s="16">
        <v>46.6</v>
      </c>
      <c r="X53" s="16">
        <v>15.6</v>
      </c>
      <c r="Y53" s="17" t="s">
        <v>28</v>
      </c>
      <c r="Z53" s="17">
        <v>680.0</v>
      </c>
    </row>
    <row r="54" ht="24.0" customHeight="1">
      <c r="A54" s="18" t="s">
        <v>29</v>
      </c>
      <c r="B54" s="18"/>
      <c r="C54" s="18">
        <f>SUM(C53,I53,O53,U53)</f>
        <v>1909</v>
      </c>
      <c r="D54" s="18">
        <v>64.8</v>
      </c>
      <c r="E54" s="18">
        <v>316.2</v>
      </c>
      <c r="F54" s="18">
        <v>67.7</v>
      </c>
      <c r="G54" s="19"/>
      <c r="H54" s="19"/>
    </row>
    <row r="55" ht="24.0" customHeight="1"/>
    <row r="56" ht="24.0" customHeight="1">
      <c r="A56" s="1" t="s">
        <v>55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3"/>
    </row>
    <row r="57" ht="24.0" customHeight="1">
      <c r="A57" s="4" t="s">
        <v>1</v>
      </c>
      <c r="B57" s="2"/>
      <c r="C57" s="2"/>
      <c r="D57" s="2"/>
      <c r="E57" s="2"/>
      <c r="F57" s="3"/>
      <c r="G57" s="5" t="s">
        <v>2</v>
      </c>
      <c r="H57" s="2"/>
      <c r="I57" s="2"/>
      <c r="J57" s="2"/>
      <c r="K57" s="2"/>
      <c r="L57" s="3"/>
      <c r="M57" s="6" t="s">
        <v>3</v>
      </c>
      <c r="N57" s="2"/>
      <c r="O57" s="2"/>
      <c r="P57" s="2"/>
      <c r="Q57" s="2"/>
      <c r="R57" s="3"/>
      <c r="S57" s="7" t="s">
        <v>4</v>
      </c>
      <c r="T57" s="2"/>
      <c r="U57" s="2"/>
      <c r="V57" s="2"/>
      <c r="W57" s="2"/>
      <c r="X57" s="3"/>
      <c r="Y57" s="8" t="s">
        <v>5</v>
      </c>
      <c r="Z57" s="3"/>
    </row>
    <row r="58" ht="24.0" customHeight="1">
      <c r="A58" s="9" t="s">
        <v>6</v>
      </c>
      <c r="B58" s="9" t="s">
        <v>7</v>
      </c>
      <c r="C58" s="9" t="s">
        <v>8</v>
      </c>
      <c r="D58" s="9" t="s">
        <v>9</v>
      </c>
      <c r="E58" s="9" t="s">
        <v>10</v>
      </c>
      <c r="F58" s="9" t="s">
        <v>11</v>
      </c>
      <c r="G58" s="9" t="s">
        <v>6</v>
      </c>
      <c r="H58" s="9" t="s">
        <v>7</v>
      </c>
      <c r="I58" s="9" t="s">
        <v>8</v>
      </c>
      <c r="J58" s="9" t="s">
        <v>9</v>
      </c>
      <c r="K58" s="9" t="s">
        <v>10</v>
      </c>
      <c r="L58" s="9" t="s">
        <v>11</v>
      </c>
      <c r="M58" s="9" t="s">
        <v>6</v>
      </c>
      <c r="N58" s="9" t="s">
        <v>7</v>
      </c>
      <c r="O58" s="9" t="s">
        <v>8</v>
      </c>
      <c r="P58" s="9" t="s">
        <v>9</v>
      </c>
      <c r="Q58" s="9" t="s">
        <v>10</v>
      </c>
      <c r="R58" s="9" t="s">
        <v>11</v>
      </c>
      <c r="S58" s="9" t="s">
        <v>6</v>
      </c>
      <c r="T58" s="9" t="s">
        <v>7</v>
      </c>
      <c r="U58" s="9" t="s">
        <v>8</v>
      </c>
      <c r="V58" s="9" t="s">
        <v>9</v>
      </c>
      <c r="W58" s="9" t="s">
        <v>10</v>
      </c>
      <c r="X58" s="9" t="s">
        <v>11</v>
      </c>
      <c r="Y58" s="9" t="s">
        <v>12</v>
      </c>
      <c r="Z58" s="9" t="s">
        <v>13</v>
      </c>
    </row>
    <row r="59" ht="24.0" customHeight="1">
      <c r="A59" s="10" t="s">
        <v>14</v>
      </c>
      <c r="B59" s="10">
        <v>40.0</v>
      </c>
      <c r="C59" s="12">
        <v>200.0</v>
      </c>
      <c r="D59" s="10">
        <v>11.9</v>
      </c>
      <c r="E59" s="10">
        <v>71.3</v>
      </c>
      <c r="F59" s="10">
        <v>7.0</v>
      </c>
      <c r="G59" s="10" t="s">
        <v>19</v>
      </c>
      <c r="H59" s="10">
        <v>2.0</v>
      </c>
      <c r="I59" s="10">
        <v>152.0</v>
      </c>
      <c r="J59" s="10">
        <v>5.3</v>
      </c>
      <c r="K59" s="10">
        <v>26.6</v>
      </c>
      <c r="L59" s="10">
        <v>2.7</v>
      </c>
      <c r="M59" s="10" t="s">
        <v>56</v>
      </c>
      <c r="N59" s="10">
        <v>290.0</v>
      </c>
      <c r="O59" s="12">
        <v>250.0</v>
      </c>
      <c r="P59" s="10">
        <v>13.5</v>
      </c>
      <c r="Q59" s="10">
        <v>123.4</v>
      </c>
      <c r="R59" s="10">
        <v>24.8</v>
      </c>
      <c r="S59" s="10" t="s">
        <v>17</v>
      </c>
      <c r="T59" s="10">
        <v>100.0</v>
      </c>
      <c r="U59" s="10">
        <v>1.0</v>
      </c>
      <c r="V59" s="10">
        <v>0.0</v>
      </c>
      <c r="W59" s="10">
        <v>0.0</v>
      </c>
      <c r="X59" s="10">
        <v>0.0</v>
      </c>
      <c r="Y59" s="11">
        <v>250.0</v>
      </c>
      <c r="Z59" s="11"/>
    </row>
    <row r="60" ht="24.0" customHeight="1">
      <c r="A60" s="10" t="s">
        <v>18</v>
      </c>
      <c r="B60" s="10">
        <v>180.0</v>
      </c>
      <c r="C60" s="10">
        <v>119.0</v>
      </c>
      <c r="D60" s="10">
        <v>6.0</v>
      </c>
      <c r="E60" s="10">
        <v>8.9</v>
      </c>
      <c r="F60" s="10">
        <v>6.6</v>
      </c>
      <c r="G60" s="10" t="s">
        <v>48</v>
      </c>
      <c r="H60" s="10">
        <v>15.0</v>
      </c>
      <c r="I60" s="10">
        <v>14.0</v>
      </c>
      <c r="J60" s="10">
        <v>2.2</v>
      </c>
      <c r="K60" s="10">
        <v>0.1</v>
      </c>
      <c r="L60" s="10">
        <v>0.5</v>
      </c>
      <c r="M60" s="10" t="s">
        <v>57</v>
      </c>
      <c r="N60" s="10">
        <v>120.0</v>
      </c>
      <c r="O60" s="10">
        <v>30.0</v>
      </c>
      <c r="P60" s="10">
        <v>1.9</v>
      </c>
      <c r="Q60" s="10">
        <v>4.9</v>
      </c>
      <c r="R60" s="10">
        <v>0.3</v>
      </c>
      <c r="S60" s="10"/>
      <c r="T60" s="10"/>
      <c r="U60" s="10"/>
      <c r="V60" s="10"/>
      <c r="W60" s="10"/>
      <c r="X60" s="10"/>
      <c r="Y60" s="11">
        <v>250.0</v>
      </c>
      <c r="Z60" s="11"/>
    </row>
    <row r="61" ht="24.0" customHeight="1">
      <c r="A61" s="10" t="s">
        <v>41</v>
      </c>
      <c r="B61" s="10">
        <v>17.0</v>
      </c>
      <c r="C61" s="10">
        <v>75.0</v>
      </c>
      <c r="D61" s="10">
        <v>2.6</v>
      </c>
      <c r="E61" s="10">
        <v>3.4</v>
      </c>
      <c r="F61" s="10">
        <v>5.7</v>
      </c>
      <c r="G61" s="10" t="s">
        <v>27</v>
      </c>
      <c r="H61" s="10">
        <v>5.0</v>
      </c>
      <c r="I61" s="10">
        <v>15.0</v>
      </c>
      <c r="J61" s="10">
        <v>0.0</v>
      </c>
      <c r="K61" s="10">
        <v>3.8</v>
      </c>
      <c r="L61" s="10">
        <v>0.0</v>
      </c>
      <c r="M61" s="10" t="s">
        <v>58</v>
      </c>
      <c r="N61" s="10">
        <v>180.0</v>
      </c>
      <c r="O61" s="10">
        <v>284.0</v>
      </c>
      <c r="P61" s="10">
        <v>24.8</v>
      </c>
      <c r="Q61" s="10">
        <v>0.0</v>
      </c>
      <c r="R61" s="10">
        <v>20.5</v>
      </c>
      <c r="S61" s="10"/>
      <c r="T61" s="10"/>
      <c r="U61" s="10"/>
      <c r="V61" s="10"/>
      <c r="W61" s="10"/>
      <c r="X61" s="10"/>
      <c r="Y61" s="11">
        <v>250.0</v>
      </c>
      <c r="Z61" s="11"/>
    </row>
    <row r="62" ht="24.0" customHeight="1">
      <c r="A62" s="10" t="s">
        <v>19</v>
      </c>
      <c r="B62" s="10">
        <v>2.0</v>
      </c>
      <c r="C62" s="10">
        <v>152.0</v>
      </c>
      <c r="D62" s="10">
        <v>5.3</v>
      </c>
      <c r="E62" s="10">
        <v>26.6</v>
      </c>
      <c r="F62" s="10">
        <v>2.7</v>
      </c>
      <c r="G62" s="10" t="s">
        <v>59</v>
      </c>
      <c r="H62" s="10">
        <v>459.0</v>
      </c>
      <c r="I62" s="12">
        <v>600.0</v>
      </c>
      <c r="J62" s="10">
        <v>108.0</v>
      </c>
      <c r="K62" s="10">
        <v>360.0</v>
      </c>
      <c r="L62" s="10">
        <v>112.0</v>
      </c>
      <c r="M62" s="10" t="s">
        <v>26</v>
      </c>
      <c r="N62" s="10">
        <v>30.0</v>
      </c>
      <c r="O62" s="10">
        <v>7.0</v>
      </c>
      <c r="P62" s="10">
        <v>0.4</v>
      </c>
      <c r="Q62" s="10">
        <v>1.1</v>
      </c>
      <c r="R62" s="10">
        <v>0.1</v>
      </c>
      <c r="S62" s="10"/>
      <c r="T62" s="10"/>
      <c r="U62" s="10"/>
      <c r="V62" s="10"/>
      <c r="W62" s="10"/>
      <c r="X62" s="10"/>
      <c r="Y62" s="11">
        <v>100.0</v>
      </c>
      <c r="Z62" s="11"/>
    </row>
    <row r="63" ht="24.0" customHeight="1">
      <c r="A63" s="10" t="s">
        <v>50</v>
      </c>
      <c r="B63" s="10">
        <v>1.0</v>
      </c>
      <c r="C63" s="10">
        <v>72.0</v>
      </c>
      <c r="D63" s="10">
        <v>6.3</v>
      </c>
      <c r="E63" s="10">
        <v>0.5</v>
      </c>
      <c r="F63" s="10">
        <v>5.0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1">
        <v>250.0</v>
      </c>
      <c r="Z63" s="11"/>
    </row>
    <row r="64" ht="24.0" customHeight="1">
      <c r="A64" s="13" t="s">
        <v>28</v>
      </c>
      <c r="B64" s="13"/>
      <c r="C64" s="13">
        <f>SUM(C59:C63)</f>
        <v>618</v>
      </c>
      <c r="D64" s="13">
        <v>32.1</v>
      </c>
      <c r="E64" s="13">
        <v>110.7</v>
      </c>
      <c r="F64" s="13">
        <v>27.0</v>
      </c>
      <c r="G64" s="14" t="s">
        <v>28</v>
      </c>
      <c r="H64" s="14"/>
      <c r="I64" s="14">
        <f>SUM(I59:I62)</f>
        <v>781</v>
      </c>
      <c r="J64" s="14">
        <v>115.5</v>
      </c>
      <c r="K64" s="14">
        <v>390.5</v>
      </c>
      <c r="L64" s="14">
        <v>115.2</v>
      </c>
      <c r="M64" s="15" t="s">
        <v>28</v>
      </c>
      <c r="N64" s="15"/>
      <c r="O64" s="15">
        <f>SUM(O59:O62)</f>
        <v>571</v>
      </c>
      <c r="P64" s="15">
        <v>40.6</v>
      </c>
      <c r="Q64" s="15">
        <v>129.4</v>
      </c>
      <c r="R64" s="15">
        <v>45.7</v>
      </c>
      <c r="S64" s="16" t="s">
        <v>28</v>
      </c>
      <c r="T64" s="16"/>
      <c r="U64" s="16">
        <f>SUM(U59:U63)</f>
        <v>1</v>
      </c>
      <c r="V64" s="16">
        <v>0.0</v>
      </c>
      <c r="W64" s="16">
        <v>0.0</v>
      </c>
      <c r="X64" s="16">
        <v>0.0</v>
      </c>
      <c r="Y64" s="17" t="s">
        <v>28</v>
      </c>
      <c r="Z64" s="17">
        <v>1100.0</v>
      </c>
    </row>
    <row r="65" ht="24.0" customHeight="1">
      <c r="A65" s="18" t="s">
        <v>29</v>
      </c>
      <c r="B65" s="18"/>
      <c r="C65" s="18">
        <f>SUM(C64,I64,O64,U64)</f>
        <v>1971</v>
      </c>
      <c r="D65" s="18">
        <v>188.2</v>
      </c>
      <c r="E65" s="18">
        <v>630.6</v>
      </c>
      <c r="F65" s="18">
        <v>187.9</v>
      </c>
      <c r="G65" s="13"/>
      <c r="H65" s="13"/>
    </row>
    <row r="66" ht="24.0" customHeight="1"/>
    <row r="67" ht="24.0" customHeight="1">
      <c r="A67" s="1" t="s">
        <v>60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3"/>
    </row>
    <row r="68" ht="24.0" customHeight="1">
      <c r="A68" s="4" t="s">
        <v>1</v>
      </c>
      <c r="B68" s="2"/>
      <c r="C68" s="2"/>
      <c r="D68" s="2"/>
      <c r="E68" s="2"/>
      <c r="F68" s="3"/>
      <c r="G68" s="5" t="s">
        <v>2</v>
      </c>
      <c r="H68" s="2"/>
      <c r="I68" s="2"/>
      <c r="J68" s="2"/>
      <c r="K68" s="2"/>
      <c r="L68" s="3"/>
      <c r="M68" s="6" t="s">
        <v>3</v>
      </c>
      <c r="N68" s="2"/>
      <c r="O68" s="2"/>
      <c r="P68" s="2"/>
      <c r="Q68" s="2"/>
      <c r="R68" s="3"/>
      <c r="S68" s="7" t="s">
        <v>4</v>
      </c>
      <c r="T68" s="2"/>
      <c r="U68" s="2"/>
      <c r="V68" s="2"/>
      <c r="W68" s="2"/>
      <c r="X68" s="3"/>
      <c r="Y68" s="8" t="s">
        <v>5</v>
      </c>
      <c r="Z68" s="3"/>
    </row>
    <row r="69" ht="24.0" customHeight="1">
      <c r="A69" s="9" t="s">
        <v>6</v>
      </c>
      <c r="B69" s="9" t="s">
        <v>7</v>
      </c>
      <c r="C69" s="9" t="s">
        <v>8</v>
      </c>
      <c r="D69" s="9" t="s">
        <v>9</v>
      </c>
      <c r="E69" s="9" t="s">
        <v>10</v>
      </c>
      <c r="F69" s="9" t="s">
        <v>11</v>
      </c>
      <c r="G69" s="9" t="s">
        <v>6</v>
      </c>
      <c r="H69" s="9" t="s">
        <v>7</v>
      </c>
      <c r="I69" s="9" t="s">
        <v>8</v>
      </c>
      <c r="J69" s="9" t="s">
        <v>9</v>
      </c>
      <c r="K69" s="9" t="s">
        <v>10</v>
      </c>
      <c r="L69" s="9" t="s">
        <v>11</v>
      </c>
      <c r="M69" s="9" t="s">
        <v>6</v>
      </c>
      <c r="N69" s="9" t="s">
        <v>7</v>
      </c>
      <c r="O69" s="9" t="s">
        <v>8</v>
      </c>
      <c r="P69" s="9" t="s">
        <v>9</v>
      </c>
      <c r="Q69" s="9" t="s">
        <v>10</v>
      </c>
      <c r="R69" s="9" t="s">
        <v>11</v>
      </c>
      <c r="S69" s="9" t="s">
        <v>6</v>
      </c>
      <c r="T69" s="9" t="s">
        <v>7</v>
      </c>
      <c r="U69" s="9" t="s">
        <v>8</v>
      </c>
      <c r="V69" s="9" t="s">
        <v>9</v>
      </c>
      <c r="W69" s="9" t="s">
        <v>10</v>
      </c>
      <c r="X69" s="9" t="s">
        <v>11</v>
      </c>
      <c r="Y69" s="9" t="s">
        <v>12</v>
      </c>
      <c r="Z69" s="9" t="s">
        <v>13</v>
      </c>
    </row>
    <row r="70" ht="24.0" customHeight="1">
      <c r="A70" s="10" t="s">
        <v>31</v>
      </c>
      <c r="B70" s="10">
        <v>50.0</v>
      </c>
      <c r="C70" s="10">
        <v>187.0</v>
      </c>
      <c r="D70" s="10">
        <v>7.5</v>
      </c>
      <c r="E70" s="10">
        <v>31.3</v>
      </c>
      <c r="F70" s="10">
        <v>3.5</v>
      </c>
      <c r="G70" s="10" t="s">
        <v>19</v>
      </c>
      <c r="H70" s="10">
        <v>2.0</v>
      </c>
      <c r="I70" s="10">
        <v>152.0</v>
      </c>
      <c r="J70" s="10">
        <v>5.3</v>
      </c>
      <c r="K70" s="10">
        <v>26.6</v>
      </c>
      <c r="L70" s="10">
        <v>2.7</v>
      </c>
      <c r="M70" s="10" t="s">
        <v>61</v>
      </c>
      <c r="N70" s="10">
        <v>235.0</v>
      </c>
      <c r="O70" s="10">
        <v>329.0</v>
      </c>
      <c r="P70" s="10">
        <v>6.6</v>
      </c>
      <c r="Q70" s="10">
        <v>59.2</v>
      </c>
      <c r="R70" s="10">
        <v>7.3</v>
      </c>
      <c r="S70" s="10" t="s">
        <v>17</v>
      </c>
      <c r="T70" s="10">
        <v>100.0</v>
      </c>
      <c r="U70" s="10">
        <v>1.0</v>
      </c>
      <c r="V70" s="10">
        <v>0.0</v>
      </c>
      <c r="W70" s="10">
        <v>0.0</v>
      </c>
      <c r="X70" s="10">
        <v>0.0</v>
      </c>
      <c r="Y70" s="11">
        <v>250.0</v>
      </c>
      <c r="Z70" s="11"/>
    </row>
    <row r="71" ht="24.0" customHeight="1">
      <c r="A71" s="10" t="s">
        <v>35</v>
      </c>
      <c r="B71" s="10">
        <v>15.0</v>
      </c>
      <c r="C71" s="10">
        <v>52.0</v>
      </c>
      <c r="D71" s="10">
        <v>0.4</v>
      </c>
      <c r="E71" s="10">
        <v>12.5</v>
      </c>
      <c r="F71" s="10">
        <v>0.1</v>
      </c>
      <c r="G71" s="10" t="s">
        <v>62</v>
      </c>
      <c r="H71" s="10">
        <v>36.0</v>
      </c>
      <c r="I71" s="10">
        <v>82.0</v>
      </c>
      <c r="J71" s="10">
        <v>9.2</v>
      </c>
      <c r="K71" s="10">
        <v>0.0</v>
      </c>
      <c r="L71" s="10">
        <v>5.0</v>
      </c>
      <c r="M71" s="10" t="s">
        <v>63</v>
      </c>
      <c r="N71" s="10">
        <v>168.0</v>
      </c>
      <c r="O71" s="10">
        <v>20.0</v>
      </c>
      <c r="P71" s="10">
        <v>0.9</v>
      </c>
      <c r="Q71" s="10">
        <v>3.6</v>
      </c>
      <c r="R71" s="10">
        <v>0.2</v>
      </c>
      <c r="S71" s="10" t="s">
        <v>47</v>
      </c>
      <c r="T71" s="10">
        <v>1.0</v>
      </c>
      <c r="U71" s="10">
        <v>70.0</v>
      </c>
      <c r="V71" s="10">
        <v>1.1</v>
      </c>
      <c r="W71" s="10">
        <v>10.8</v>
      </c>
      <c r="X71" s="10">
        <v>2.5</v>
      </c>
      <c r="Y71" s="11">
        <v>350.0</v>
      </c>
      <c r="Z71" s="11"/>
    </row>
    <row r="72" ht="24.0" customHeight="1">
      <c r="A72" s="10" t="s">
        <v>38</v>
      </c>
      <c r="B72" s="10">
        <v>2.0</v>
      </c>
      <c r="C72" s="10">
        <v>11.0</v>
      </c>
      <c r="D72" s="10">
        <v>0.1</v>
      </c>
      <c r="E72" s="10">
        <v>0.5</v>
      </c>
      <c r="F72" s="10">
        <v>1.0</v>
      </c>
      <c r="G72" s="10"/>
      <c r="H72" s="10"/>
      <c r="I72" s="10"/>
      <c r="J72" s="10"/>
      <c r="K72" s="10"/>
      <c r="L72" s="10"/>
      <c r="M72" s="10" t="s">
        <v>64</v>
      </c>
      <c r="N72" s="10">
        <v>57.0</v>
      </c>
      <c r="O72" s="10">
        <v>132.0</v>
      </c>
      <c r="P72" s="10">
        <v>8.2</v>
      </c>
      <c r="Q72" s="10">
        <v>1.7</v>
      </c>
      <c r="R72" s="10">
        <v>10.3</v>
      </c>
      <c r="S72" s="10" t="s">
        <v>65</v>
      </c>
      <c r="T72" s="10">
        <v>1.0</v>
      </c>
      <c r="U72" s="10">
        <v>318.0</v>
      </c>
      <c r="V72" s="10">
        <v>5.6</v>
      </c>
      <c r="W72" s="10">
        <v>46.1</v>
      </c>
      <c r="X72" s="10">
        <v>12.4</v>
      </c>
      <c r="Y72" s="11">
        <v>350.0</v>
      </c>
      <c r="Z72" s="11"/>
    </row>
    <row r="73" ht="24.0" customHeight="1">
      <c r="A73" s="10" t="s">
        <v>18</v>
      </c>
      <c r="B73" s="10">
        <v>180.0</v>
      </c>
      <c r="C73" s="10">
        <v>119.0</v>
      </c>
      <c r="D73" s="10">
        <v>6.0</v>
      </c>
      <c r="E73" s="10">
        <v>8.9</v>
      </c>
      <c r="F73" s="10">
        <v>6.6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 t="s">
        <v>66</v>
      </c>
      <c r="T73" s="10">
        <v>100.0</v>
      </c>
      <c r="U73" s="10">
        <v>645.0</v>
      </c>
      <c r="V73" s="10">
        <v>9.7</v>
      </c>
      <c r="W73" s="10">
        <v>22.6</v>
      </c>
      <c r="X73" s="10">
        <v>57.3</v>
      </c>
      <c r="Y73" s="11">
        <v>250.0</v>
      </c>
      <c r="Z73" s="11"/>
    </row>
    <row r="74" ht="24.0" customHeight="1">
      <c r="A74" s="10" t="s">
        <v>19</v>
      </c>
      <c r="B74" s="10">
        <v>2.0</v>
      </c>
      <c r="C74" s="10">
        <v>152.0</v>
      </c>
      <c r="D74" s="10">
        <v>5.3</v>
      </c>
      <c r="E74" s="10">
        <v>26.6</v>
      </c>
      <c r="F74" s="10">
        <v>2.7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Y74" s="11">
        <v>300.0</v>
      </c>
      <c r="Z74" s="11"/>
    </row>
    <row r="75" ht="24.0" customHeight="1">
      <c r="A75" s="10" t="s">
        <v>24</v>
      </c>
      <c r="B75" s="10">
        <v>2.0</v>
      </c>
      <c r="C75" s="10">
        <v>5.0</v>
      </c>
      <c r="D75" s="10">
        <v>0.0</v>
      </c>
      <c r="E75" s="10">
        <v>1.2</v>
      </c>
      <c r="F75" s="10">
        <v>0.0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1">
        <v>200.0</v>
      </c>
      <c r="Z75" s="11"/>
    </row>
    <row r="76" ht="24.0" customHeight="1">
      <c r="A76" s="10" t="s">
        <v>27</v>
      </c>
      <c r="B76" s="10">
        <v>5.0</v>
      </c>
      <c r="C76" s="10">
        <v>15.0</v>
      </c>
      <c r="D76" s="10">
        <v>0.0</v>
      </c>
      <c r="E76" s="10">
        <v>3.8</v>
      </c>
      <c r="F76" s="10">
        <v>0.0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1">
        <v>200.0</v>
      </c>
      <c r="Z76" s="11"/>
    </row>
    <row r="77" ht="24.0" customHeight="1">
      <c r="A77" s="10" t="s">
        <v>41</v>
      </c>
      <c r="B77" s="10">
        <v>20.0</v>
      </c>
      <c r="C77" s="10">
        <v>88.0</v>
      </c>
      <c r="D77" s="10">
        <v>3.1</v>
      </c>
      <c r="E77" s="10">
        <v>4.0</v>
      </c>
      <c r="F77" s="10">
        <v>6.6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1">
        <v>150.0</v>
      </c>
      <c r="Z77" s="11"/>
    </row>
    <row r="78" ht="24.0" customHeight="1">
      <c r="A78" s="13" t="s">
        <v>28</v>
      </c>
      <c r="B78" s="13"/>
      <c r="C78" s="13">
        <f>SUM(C70:C77)</f>
        <v>629</v>
      </c>
      <c r="D78" s="13">
        <v>22.4</v>
      </c>
      <c r="E78" s="13">
        <v>88.8</v>
      </c>
      <c r="F78" s="13">
        <v>20.5</v>
      </c>
      <c r="G78" s="14" t="s">
        <v>28</v>
      </c>
      <c r="H78" s="14"/>
      <c r="I78" s="14">
        <f>SUM(I70:I71)</f>
        <v>234</v>
      </c>
      <c r="J78" s="14">
        <v>14.5</v>
      </c>
      <c r="K78" s="14">
        <v>26.6</v>
      </c>
      <c r="L78" s="14">
        <v>7.7</v>
      </c>
      <c r="M78" s="15" t="s">
        <v>28</v>
      </c>
      <c r="N78" s="15"/>
      <c r="O78" s="15">
        <f>SUM(O70:O72)</f>
        <v>481</v>
      </c>
      <c r="P78" s="15">
        <v>15.7</v>
      </c>
      <c r="Q78" s="15">
        <v>64.5</v>
      </c>
      <c r="R78" s="15">
        <v>17.8</v>
      </c>
      <c r="S78" s="16" t="s">
        <v>28</v>
      </c>
      <c r="T78" s="16"/>
      <c r="U78" s="16">
        <f>SUM(U70:U73)</f>
        <v>1034</v>
      </c>
      <c r="V78" s="16">
        <v>17.6</v>
      </c>
      <c r="W78" s="16">
        <v>82.3</v>
      </c>
      <c r="X78" s="16">
        <v>79.4</v>
      </c>
      <c r="Y78" s="17" t="s">
        <v>28</v>
      </c>
      <c r="Z78" s="17">
        <v>2050.0</v>
      </c>
    </row>
    <row r="79" ht="24.0" customHeight="1">
      <c r="A79" s="18" t="s">
        <v>29</v>
      </c>
      <c r="B79" s="18"/>
      <c r="C79" s="18">
        <f>SUM(C78,I78,O78,U78)</f>
        <v>2378</v>
      </c>
      <c r="D79" s="18">
        <v>70.2</v>
      </c>
      <c r="E79" s="18">
        <v>262.2</v>
      </c>
      <c r="F79" s="18">
        <v>125.4</v>
      </c>
      <c r="G79" s="19"/>
      <c r="H79" s="19"/>
    </row>
    <row r="80" ht="24.0" customHeight="1"/>
    <row r="81" ht="24.0" customHeight="1">
      <c r="A81" s="1" t="s">
        <v>67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3"/>
    </row>
    <row r="82" ht="24.0" customHeight="1">
      <c r="A82" s="4" t="s">
        <v>1</v>
      </c>
      <c r="B82" s="2"/>
      <c r="C82" s="2"/>
      <c r="D82" s="2"/>
      <c r="E82" s="2"/>
      <c r="F82" s="3"/>
      <c r="G82" s="5" t="s">
        <v>2</v>
      </c>
      <c r="H82" s="2"/>
      <c r="I82" s="2"/>
      <c r="J82" s="2"/>
      <c r="K82" s="2"/>
      <c r="L82" s="3"/>
      <c r="M82" s="6" t="s">
        <v>3</v>
      </c>
      <c r="N82" s="2"/>
      <c r="O82" s="2"/>
      <c r="P82" s="2"/>
      <c r="Q82" s="2"/>
      <c r="R82" s="3"/>
      <c r="S82" s="7" t="s">
        <v>4</v>
      </c>
      <c r="T82" s="2"/>
      <c r="U82" s="2"/>
      <c r="V82" s="2"/>
      <c r="W82" s="2"/>
      <c r="X82" s="3"/>
      <c r="Y82" s="8" t="s">
        <v>5</v>
      </c>
      <c r="Z82" s="3"/>
    </row>
    <row r="83" ht="24.0" customHeight="1">
      <c r="A83" s="9" t="s">
        <v>6</v>
      </c>
      <c r="B83" s="9" t="s">
        <v>7</v>
      </c>
      <c r="C83" s="9" t="s">
        <v>8</v>
      </c>
      <c r="D83" s="9" t="s">
        <v>9</v>
      </c>
      <c r="E83" s="9" t="s">
        <v>10</v>
      </c>
      <c r="F83" s="9" t="s">
        <v>11</v>
      </c>
      <c r="G83" s="9" t="s">
        <v>6</v>
      </c>
      <c r="H83" s="9" t="s">
        <v>7</v>
      </c>
      <c r="I83" s="9" t="s">
        <v>8</v>
      </c>
      <c r="J83" s="9" t="s">
        <v>9</v>
      </c>
      <c r="K83" s="9" t="s">
        <v>10</v>
      </c>
      <c r="L83" s="9" t="s">
        <v>11</v>
      </c>
      <c r="M83" s="9" t="s">
        <v>6</v>
      </c>
      <c r="N83" s="9" t="s">
        <v>7</v>
      </c>
      <c r="O83" s="9" t="s">
        <v>8</v>
      </c>
      <c r="P83" s="9" t="s">
        <v>9</v>
      </c>
      <c r="Q83" s="9" t="s">
        <v>10</v>
      </c>
      <c r="R83" s="9" t="s">
        <v>11</v>
      </c>
      <c r="S83" s="9" t="s">
        <v>6</v>
      </c>
      <c r="T83" s="9" t="s">
        <v>7</v>
      </c>
      <c r="U83" s="9" t="s">
        <v>8</v>
      </c>
      <c r="V83" s="9" t="s">
        <v>9</v>
      </c>
      <c r="W83" s="9" t="s">
        <v>10</v>
      </c>
      <c r="X83" s="9" t="s">
        <v>11</v>
      </c>
      <c r="Y83" s="9" t="s">
        <v>12</v>
      </c>
      <c r="Z83" s="9" t="s">
        <v>13</v>
      </c>
    </row>
    <row r="84" ht="24.0" customHeight="1">
      <c r="A84" s="10" t="s">
        <v>31</v>
      </c>
      <c r="B84" s="10">
        <v>102.0</v>
      </c>
      <c r="C84" s="10">
        <v>381.0</v>
      </c>
      <c r="D84" s="10">
        <v>15.2</v>
      </c>
      <c r="E84" s="10">
        <v>63.8</v>
      </c>
      <c r="F84" s="10">
        <v>7.2</v>
      </c>
      <c r="G84" s="10" t="s">
        <v>19</v>
      </c>
      <c r="H84" s="10">
        <v>2.0</v>
      </c>
      <c r="I84" s="10">
        <v>152.0</v>
      </c>
      <c r="J84" s="10">
        <v>5.3</v>
      </c>
      <c r="K84" s="10">
        <v>26.6</v>
      </c>
      <c r="L84" s="10">
        <v>2.7</v>
      </c>
      <c r="M84" s="10" t="s">
        <v>32</v>
      </c>
      <c r="N84" s="10">
        <v>300.0</v>
      </c>
      <c r="O84" s="10">
        <v>560.0</v>
      </c>
      <c r="P84" s="10">
        <v>11.2</v>
      </c>
      <c r="Q84" s="10">
        <v>126.0</v>
      </c>
      <c r="R84" s="10">
        <v>1.2</v>
      </c>
      <c r="S84" s="10" t="s">
        <v>68</v>
      </c>
      <c r="T84" s="10">
        <v>1.0</v>
      </c>
      <c r="U84" s="10">
        <v>124.0</v>
      </c>
      <c r="V84" s="10">
        <v>1.6</v>
      </c>
      <c r="W84" s="10">
        <v>28.8</v>
      </c>
      <c r="X84" s="10">
        <v>0.3</v>
      </c>
      <c r="Y84" s="11">
        <v>250.0</v>
      </c>
      <c r="Z84" s="11"/>
    </row>
    <row r="85" ht="24.0" customHeight="1">
      <c r="A85" s="10" t="s">
        <v>18</v>
      </c>
      <c r="B85" s="10">
        <v>165.0</v>
      </c>
      <c r="C85" s="10">
        <v>109.0</v>
      </c>
      <c r="D85" s="10">
        <v>5.5</v>
      </c>
      <c r="E85" s="10">
        <v>8.2</v>
      </c>
      <c r="F85" s="10">
        <v>6.1</v>
      </c>
      <c r="G85" s="10" t="s">
        <v>69</v>
      </c>
      <c r="H85" s="10">
        <v>20.0</v>
      </c>
      <c r="I85" s="10">
        <v>33.0</v>
      </c>
      <c r="J85" s="10">
        <v>3.7</v>
      </c>
      <c r="K85" s="10">
        <v>0.2</v>
      </c>
      <c r="L85" s="10">
        <v>1.9</v>
      </c>
      <c r="M85" s="10" t="s">
        <v>70</v>
      </c>
      <c r="N85" s="10">
        <v>200.0</v>
      </c>
      <c r="O85" s="10">
        <v>36.0</v>
      </c>
      <c r="P85" s="10">
        <v>1.8</v>
      </c>
      <c r="Q85" s="10">
        <v>6.3</v>
      </c>
      <c r="R85" s="10">
        <v>0.4</v>
      </c>
      <c r="S85" s="10"/>
      <c r="T85" s="10"/>
      <c r="U85" s="10"/>
      <c r="V85" s="10"/>
      <c r="W85" s="10"/>
      <c r="X85" s="10"/>
      <c r="Y85" s="11">
        <v>350.0</v>
      </c>
      <c r="Z85" s="11"/>
    </row>
    <row r="86" ht="24.0" customHeight="1">
      <c r="A86" s="10" t="s">
        <v>41</v>
      </c>
      <c r="B86" s="10">
        <v>15.0</v>
      </c>
      <c r="C86" s="10">
        <v>66.0</v>
      </c>
      <c r="D86" s="10">
        <v>2.3</v>
      </c>
      <c r="E86" s="10">
        <v>3.0</v>
      </c>
      <c r="F86" s="10">
        <v>5.0</v>
      </c>
      <c r="G86" s="10"/>
      <c r="H86" s="10"/>
      <c r="I86" s="10"/>
      <c r="J86" s="10"/>
      <c r="K86" s="10"/>
      <c r="L86" s="10"/>
      <c r="M86" s="10" t="s">
        <v>71</v>
      </c>
      <c r="N86" s="10">
        <v>1.0</v>
      </c>
      <c r="O86" s="10">
        <v>78.0</v>
      </c>
      <c r="P86" s="10">
        <v>6.2</v>
      </c>
      <c r="Q86" s="10">
        <v>0.6</v>
      </c>
      <c r="R86" s="10">
        <v>5.6</v>
      </c>
      <c r="S86" s="10"/>
      <c r="T86" s="10"/>
      <c r="U86" s="10"/>
      <c r="V86" s="10"/>
      <c r="W86" s="10"/>
      <c r="X86" s="10"/>
      <c r="Y86" s="11">
        <v>200.0</v>
      </c>
      <c r="Z86" s="11"/>
    </row>
    <row r="87" ht="24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1">
        <v>300.0</v>
      </c>
      <c r="Z87" s="11"/>
    </row>
    <row r="88" ht="24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1">
        <v>200.0</v>
      </c>
      <c r="Z88" s="11"/>
    </row>
    <row r="89" ht="24.0" customHeight="1">
      <c r="A89" s="13" t="s">
        <v>28</v>
      </c>
      <c r="B89" s="13"/>
      <c r="C89" s="13">
        <f>SUM(C84:C88)</f>
        <v>556</v>
      </c>
      <c r="D89" s="13">
        <v>23.0</v>
      </c>
      <c r="E89" s="13">
        <v>75.0</v>
      </c>
      <c r="F89" s="13">
        <v>18.3</v>
      </c>
      <c r="G89" s="14" t="s">
        <v>28</v>
      </c>
      <c r="H89" s="14"/>
      <c r="I89" s="14">
        <f>SUM(I84:I85)</f>
        <v>185</v>
      </c>
      <c r="J89" s="14">
        <v>9.0</v>
      </c>
      <c r="K89" s="14">
        <v>26.8</v>
      </c>
      <c r="L89" s="14">
        <v>4.6</v>
      </c>
      <c r="M89" s="15" t="s">
        <v>28</v>
      </c>
      <c r="N89" s="15"/>
      <c r="O89" s="15">
        <f>SUM(O84:O86)</f>
        <v>674</v>
      </c>
      <c r="P89" s="15">
        <v>19.2</v>
      </c>
      <c r="Q89" s="15">
        <v>132.9</v>
      </c>
      <c r="R89" s="15">
        <v>7.2</v>
      </c>
      <c r="S89" s="16" t="s">
        <v>28</v>
      </c>
      <c r="T89" s="16"/>
      <c r="U89" s="16">
        <f>SUM(U84)</f>
        <v>124</v>
      </c>
      <c r="V89" s="16">
        <v>1.6</v>
      </c>
      <c r="W89" s="16">
        <v>28.8</v>
      </c>
      <c r="X89" s="16">
        <v>0.3</v>
      </c>
      <c r="Y89" s="17" t="s">
        <v>28</v>
      </c>
      <c r="Z89" s="17">
        <v>1300.0</v>
      </c>
    </row>
    <row r="90" ht="24.0" customHeight="1">
      <c r="A90" s="18" t="s">
        <v>29</v>
      </c>
      <c r="B90" s="18"/>
      <c r="C90" s="18">
        <f>SUM(C89,I89,O89,U89)</f>
        <v>1539</v>
      </c>
      <c r="D90" s="18">
        <v>52.8</v>
      </c>
      <c r="E90" s="18">
        <v>263.5</v>
      </c>
      <c r="F90" s="18">
        <v>30.4</v>
      </c>
      <c r="G90" s="19"/>
      <c r="H90" s="19"/>
      <c r="I90" s="20"/>
    </row>
    <row r="91" ht="24.0" customHeight="1"/>
    <row r="92" ht="24.0" customHeight="1">
      <c r="A92" s="1" t="s">
        <v>72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"/>
    </row>
    <row r="93" ht="24.0" customHeight="1">
      <c r="A93" s="4" t="s">
        <v>1</v>
      </c>
      <c r="B93" s="2"/>
      <c r="C93" s="2"/>
      <c r="D93" s="2"/>
      <c r="E93" s="2"/>
      <c r="F93" s="3"/>
      <c r="G93" s="5" t="s">
        <v>2</v>
      </c>
      <c r="H93" s="2"/>
      <c r="I93" s="2"/>
      <c r="J93" s="2"/>
      <c r="K93" s="2"/>
      <c r="L93" s="3"/>
      <c r="M93" s="6" t="s">
        <v>3</v>
      </c>
      <c r="N93" s="2"/>
      <c r="O93" s="2"/>
      <c r="P93" s="2"/>
      <c r="Q93" s="2"/>
      <c r="R93" s="3"/>
      <c r="S93" s="7" t="s">
        <v>4</v>
      </c>
      <c r="T93" s="2"/>
      <c r="U93" s="2"/>
      <c r="V93" s="2"/>
      <c r="W93" s="2"/>
      <c r="X93" s="3"/>
      <c r="Y93" s="8" t="s">
        <v>5</v>
      </c>
      <c r="Z93" s="3"/>
    </row>
    <row r="94" ht="24.0" customHeight="1">
      <c r="A94" s="9" t="s">
        <v>6</v>
      </c>
      <c r="B94" s="9" t="s">
        <v>7</v>
      </c>
      <c r="C94" s="9" t="s">
        <v>8</v>
      </c>
      <c r="D94" s="9" t="s">
        <v>9</v>
      </c>
      <c r="E94" s="9" t="s">
        <v>10</v>
      </c>
      <c r="F94" s="9" t="s">
        <v>11</v>
      </c>
      <c r="G94" s="9" t="s">
        <v>6</v>
      </c>
      <c r="H94" s="9" t="s">
        <v>7</v>
      </c>
      <c r="I94" s="9" t="s">
        <v>8</v>
      </c>
      <c r="J94" s="9" t="s">
        <v>9</v>
      </c>
      <c r="K94" s="9" t="s">
        <v>10</v>
      </c>
      <c r="L94" s="9" t="s">
        <v>11</v>
      </c>
      <c r="M94" s="9" t="s">
        <v>6</v>
      </c>
      <c r="N94" s="9" t="s">
        <v>7</v>
      </c>
      <c r="O94" s="9" t="s">
        <v>8</v>
      </c>
      <c r="P94" s="9" t="s">
        <v>9</v>
      </c>
      <c r="Q94" s="9" t="s">
        <v>10</v>
      </c>
      <c r="R94" s="9" t="s">
        <v>11</v>
      </c>
      <c r="S94" s="9" t="s">
        <v>6</v>
      </c>
      <c r="T94" s="9" t="s">
        <v>7</v>
      </c>
      <c r="U94" s="9" t="s">
        <v>8</v>
      </c>
      <c r="V94" s="9" t="s">
        <v>9</v>
      </c>
      <c r="W94" s="9" t="s">
        <v>10</v>
      </c>
      <c r="X94" s="9" t="s">
        <v>11</v>
      </c>
      <c r="Y94" s="9" t="s">
        <v>12</v>
      </c>
      <c r="Z94" s="9" t="s">
        <v>13</v>
      </c>
    </row>
    <row r="95" ht="24.0" customHeight="1">
      <c r="A95" s="10" t="s">
        <v>31</v>
      </c>
      <c r="B95" s="10">
        <v>63.0</v>
      </c>
      <c r="C95" s="10">
        <v>236.0</v>
      </c>
      <c r="D95" s="10">
        <v>9.4</v>
      </c>
      <c r="E95" s="10">
        <v>39.5</v>
      </c>
      <c r="F95" s="10">
        <v>4.5</v>
      </c>
      <c r="G95" s="10" t="s">
        <v>19</v>
      </c>
      <c r="H95" s="10">
        <v>2.0</v>
      </c>
      <c r="I95" s="10">
        <v>152.0</v>
      </c>
      <c r="J95" s="10">
        <v>5.3</v>
      </c>
      <c r="K95" s="10">
        <v>26.6</v>
      </c>
      <c r="L95" s="10">
        <v>2.7</v>
      </c>
      <c r="M95" s="10" t="s">
        <v>73</v>
      </c>
      <c r="N95" s="10">
        <v>313.0</v>
      </c>
      <c r="O95" s="10">
        <v>560.0</v>
      </c>
      <c r="P95" s="10">
        <v>12.6</v>
      </c>
      <c r="Q95" s="10">
        <v>120.4</v>
      </c>
      <c r="R95" s="10">
        <v>3.1</v>
      </c>
      <c r="S95" s="10" t="s">
        <v>17</v>
      </c>
      <c r="T95" s="10">
        <v>100.0</v>
      </c>
      <c r="U95" s="10">
        <v>1.0</v>
      </c>
      <c r="V95" s="10">
        <v>0.0</v>
      </c>
      <c r="W95" s="10">
        <v>0.0</v>
      </c>
      <c r="X95" s="10">
        <v>0.0</v>
      </c>
      <c r="Y95" s="11">
        <v>350.0</v>
      </c>
      <c r="Z95" s="11"/>
    </row>
    <row r="96" ht="24.0" customHeight="1">
      <c r="A96" s="10" t="s">
        <v>18</v>
      </c>
      <c r="B96" s="10">
        <v>160.0</v>
      </c>
      <c r="C96" s="10">
        <v>106.0</v>
      </c>
      <c r="D96" s="10">
        <v>5.3</v>
      </c>
      <c r="E96" s="10">
        <v>7.9</v>
      </c>
      <c r="F96" s="10">
        <v>5.9</v>
      </c>
      <c r="G96" s="10" t="s">
        <v>22</v>
      </c>
      <c r="H96" s="10">
        <v>1.0</v>
      </c>
      <c r="I96" s="12">
        <v>120.0</v>
      </c>
      <c r="J96" s="10">
        <v>20.3</v>
      </c>
      <c r="K96" s="10">
        <v>1.4</v>
      </c>
      <c r="L96" s="10">
        <v>22.6</v>
      </c>
      <c r="M96" s="10" t="s">
        <v>63</v>
      </c>
      <c r="N96" s="10">
        <v>180.0</v>
      </c>
      <c r="O96" s="10">
        <v>22.0</v>
      </c>
      <c r="P96" s="10">
        <v>1.0</v>
      </c>
      <c r="Q96" s="10">
        <v>4.0</v>
      </c>
      <c r="R96" s="10">
        <v>0.2</v>
      </c>
      <c r="S96" s="10" t="s">
        <v>74</v>
      </c>
      <c r="T96" s="10">
        <v>1.0</v>
      </c>
      <c r="U96" s="10">
        <v>301.0</v>
      </c>
      <c r="V96" s="10">
        <v>4.5</v>
      </c>
      <c r="W96" s="10">
        <v>42.1</v>
      </c>
      <c r="X96" s="10">
        <v>12.7</v>
      </c>
      <c r="Y96" s="11">
        <v>350.0</v>
      </c>
      <c r="Z96" s="11"/>
    </row>
    <row r="97" ht="24.0" customHeight="1">
      <c r="A97" s="10" t="s">
        <v>19</v>
      </c>
      <c r="B97" s="10">
        <v>1.0</v>
      </c>
      <c r="C97" s="10">
        <v>76.0</v>
      </c>
      <c r="D97" s="10">
        <v>2.7</v>
      </c>
      <c r="E97" s="10">
        <v>13.3</v>
      </c>
      <c r="F97" s="10">
        <v>1.4</v>
      </c>
      <c r="G97" s="10" t="s">
        <v>27</v>
      </c>
      <c r="H97" s="10">
        <v>5.0</v>
      </c>
      <c r="I97" s="10">
        <v>15.0</v>
      </c>
      <c r="J97" s="10">
        <v>0.0</v>
      </c>
      <c r="K97" s="10">
        <v>3.8</v>
      </c>
      <c r="L97" s="10">
        <v>0.0</v>
      </c>
      <c r="M97" s="10" t="s">
        <v>36</v>
      </c>
      <c r="N97" s="10">
        <v>285.0</v>
      </c>
      <c r="O97" s="10">
        <v>211.0</v>
      </c>
      <c r="P97" s="10">
        <v>23.7</v>
      </c>
      <c r="Q97" s="10">
        <v>0.0</v>
      </c>
      <c r="R97" s="10">
        <v>12.9</v>
      </c>
      <c r="S97" s="10"/>
      <c r="T97" s="10"/>
      <c r="U97" s="10"/>
      <c r="V97" s="10"/>
      <c r="W97" s="10"/>
      <c r="X97" s="10"/>
      <c r="Y97" s="11">
        <v>350.0</v>
      </c>
      <c r="Z97" s="11"/>
    </row>
    <row r="98" ht="24.0" customHeight="1">
      <c r="A98" s="10" t="s">
        <v>24</v>
      </c>
      <c r="B98" s="10">
        <v>2.0</v>
      </c>
      <c r="C98" s="10">
        <v>5.0</v>
      </c>
      <c r="D98" s="10">
        <v>0.0</v>
      </c>
      <c r="E98" s="10">
        <v>1.2</v>
      </c>
      <c r="F98" s="10">
        <v>0.0</v>
      </c>
      <c r="G98" s="10" t="s">
        <v>75</v>
      </c>
      <c r="H98" s="10">
        <v>18.0</v>
      </c>
      <c r="I98" s="10">
        <v>76.0</v>
      </c>
      <c r="J98" s="10">
        <v>4.8</v>
      </c>
      <c r="K98" s="10">
        <v>0.6</v>
      </c>
      <c r="L98" s="10">
        <v>6.1</v>
      </c>
      <c r="M98" s="10" t="s">
        <v>43</v>
      </c>
      <c r="N98" s="10">
        <v>160.0</v>
      </c>
      <c r="O98" s="10">
        <v>214.0</v>
      </c>
      <c r="P98" s="10">
        <v>8.6</v>
      </c>
      <c r="Q98" s="10">
        <v>7.5</v>
      </c>
      <c r="R98" s="10">
        <v>16.6</v>
      </c>
      <c r="S98" s="10"/>
      <c r="T98" s="10"/>
      <c r="U98" s="10"/>
      <c r="V98" s="10"/>
      <c r="W98" s="10"/>
      <c r="X98" s="10"/>
      <c r="Y98" s="11">
        <v>300.0</v>
      </c>
      <c r="Z98" s="11"/>
    </row>
    <row r="99" ht="24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1">
        <v>250.0</v>
      </c>
      <c r="Z99" s="11"/>
    </row>
    <row r="100" ht="24.0" customHeight="1">
      <c r="A100" s="13" t="s">
        <v>28</v>
      </c>
      <c r="B100" s="13"/>
      <c r="C100" s="13">
        <f>SUM(C95:C98)</f>
        <v>423</v>
      </c>
      <c r="D100" s="13">
        <v>17.4</v>
      </c>
      <c r="E100" s="13">
        <v>61.9</v>
      </c>
      <c r="F100" s="13">
        <v>11.8</v>
      </c>
      <c r="G100" s="14" t="s">
        <v>28</v>
      </c>
      <c r="H100" s="14"/>
      <c r="I100" s="14">
        <f>SUM(I95:I98)</f>
        <v>363</v>
      </c>
      <c r="J100" s="14">
        <v>30.4</v>
      </c>
      <c r="K100" s="14">
        <v>32.4</v>
      </c>
      <c r="L100" s="14">
        <v>31.4</v>
      </c>
      <c r="M100" s="15" t="s">
        <v>28</v>
      </c>
      <c r="N100" s="15"/>
      <c r="O100" s="15">
        <f>SUM(O95:O99)</f>
        <v>1007</v>
      </c>
      <c r="P100" s="15">
        <v>45.9</v>
      </c>
      <c r="Q100" s="15">
        <v>131.9</v>
      </c>
      <c r="R100" s="15">
        <v>32.8</v>
      </c>
      <c r="S100" s="16" t="s">
        <v>28</v>
      </c>
      <c r="T100" s="16"/>
      <c r="U100" s="16">
        <f>SUM(U95:U99)</f>
        <v>302</v>
      </c>
      <c r="V100" s="16">
        <v>4.5</v>
      </c>
      <c r="W100" s="16">
        <v>42.1</v>
      </c>
      <c r="X100" s="16">
        <v>12.7</v>
      </c>
      <c r="Y100" s="17" t="s">
        <v>28</v>
      </c>
      <c r="Z100" s="17">
        <v>1600.0</v>
      </c>
    </row>
    <row r="101" ht="24.0" customHeight="1">
      <c r="A101" s="18" t="s">
        <v>29</v>
      </c>
      <c r="B101" s="18"/>
      <c r="C101" s="18">
        <f>SUM(C100,I100,O100,U100)</f>
        <v>2095</v>
      </c>
      <c r="D101" s="18">
        <v>98.2</v>
      </c>
      <c r="E101" s="18">
        <v>268.3</v>
      </c>
      <c r="F101" s="18">
        <v>88.7</v>
      </c>
      <c r="G101" s="19"/>
      <c r="H101" s="19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G68:L68"/>
    <mergeCell ref="M68:R68"/>
    <mergeCell ref="A57:F57"/>
    <mergeCell ref="G57:L57"/>
    <mergeCell ref="M57:R57"/>
    <mergeCell ref="S57:X57"/>
    <mergeCell ref="Y57:Z57"/>
    <mergeCell ref="A67:Z67"/>
    <mergeCell ref="A68:F68"/>
    <mergeCell ref="A1:Z1"/>
    <mergeCell ref="A2:F2"/>
    <mergeCell ref="G2:L2"/>
    <mergeCell ref="M2:R2"/>
    <mergeCell ref="S2:X2"/>
    <mergeCell ref="Y2:Z2"/>
    <mergeCell ref="A14:Z14"/>
    <mergeCell ref="G30:L30"/>
    <mergeCell ref="M30:R30"/>
    <mergeCell ref="S30:X30"/>
    <mergeCell ref="Y30:Z30"/>
    <mergeCell ref="A15:F15"/>
    <mergeCell ref="G15:L15"/>
    <mergeCell ref="M15:R15"/>
    <mergeCell ref="S15:X15"/>
    <mergeCell ref="Y15:Z15"/>
    <mergeCell ref="A29:Z29"/>
    <mergeCell ref="A30:F30"/>
    <mergeCell ref="A42:Z42"/>
    <mergeCell ref="A43:F43"/>
    <mergeCell ref="G43:L43"/>
    <mergeCell ref="M43:R43"/>
    <mergeCell ref="S43:X43"/>
    <mergeCell ref="Y43:Z43"/>
    <mergeCell ref="A56:Z56"/>
    <mergeCell ref="S68:X68"/>
    <mergeCell ref="Y68:Z68"/>
    <mergeCell ref="A93:F93"/>
    <mergeCell ref="G93:L93"/>
    <mergeCell ref="M93:R93"/>
    <mergeCell ref="S93:X93"/>
    <mergeCell ref="Y93:Z93"/>
    <mergeCell ref="A81:Z81"/>
    <mergeCell ref="A82:F82"/>
    <mergeCell ref="G82:L82"/>
    <mergeCell ref="M82:R82"/>
    <mergeCell ref="S82:X82"/>
    <mergeCell ref="Y82:Z82"/>
    <mergeCell ref="A92:Z9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" width="18.0"/>
    <col customWidth="1" min="7" max="26" width="8.71"/>
  </cols>
  <sheetData>
    <row r="1">
      <c r="A1" s="21" t="s">
        <v>76</v>
      </c>
    </row>
    <row r="2">
      <c r="A2" s="22" t="s">
        <v>77</v>
      </c>
      <c r="B2" s="22" t="s">
        <v>8</v>
      </c>
      <c r="C2" s="22" t="s">
        <v>78</v>
      </c>
      <c r="D2" s="22" t="s">
        <v>79</v>
      </c>
      <c r="E2" s="22" t="s">
        <v>80</v>
      </c>
      <c r="F2" s="22" t="s">
        <v>81</v>
      </c>
    </row>
    <row r="3">
      <c r="A3" s="11" t="s">
        <v>0</v>
      </c>
      <c r="B3" s="23">
        <f>'Dagboek macro layout'!C12</f>
        <v>2303</v>
      </c>
      <c r="C3" s="23">
        <v>93.9</v>
      </c>
      <c r="D3" s="23">
        <v>303.3</v>
      </c>
      <c r="E3" s="23">
        <v>98.4</v>
      </c>
      <c r="F3" s="23">
        <v>1900.0</v>
      </c>
    </row>
    <row r="4">
      <c r="A4" s="11" t="s">
        <v>30</v>
      </c>
      <c r="B4" s="23">
        <f>'Dagboek macro layout'!C27</f>
        <v>2587</v>
      </c>
      <c r="C4" s="23">
        <v>109.6</v>
      </c>
      <c r="D4" s="23">
        <v>338.7</v>
      </c>
      <c r="E4" s="23">
        <v>107.1</v>
      </c>
      <c r="F4" s="23">
        <v>1500.0</v>
      </c>
    </row>
    <row r="5">
      <c r="A5" s="11" t="s">
        <v>45</v>
      </c>
      <c r="B5" s="23">
        <f>'Dagboek macro layout'!C40</f>
        <v>2617</v>
      </c>
      <c r="C5" s="23">
        <v>125.9</v>
      </c>
      <c r="D5" s="23">
        <v>460.4</v>
      </c>
      <c r="E5" s="23">
        <v>127.2</v>
      </c>
      <c r="F5" s="23">
        <v>1600.0</v>
      </c>
    </row>
    <row r="6">
      <c r="A6" s="11" t="s">
        <v>52</v>
      </c>
      <c r="B6" s="23">
        <f>'Dagboek macro layout'!C54</f>
        <v>1909</v>
      </c>
      <c r="C6" s="23">
        <v>64.8</v>
      </c>
      <c r="D6" s="23">
        <v>316.2</v>
      </c>
      <c r="E6" s="23">
        <v>67.7</v>
      </c>
      <c r="F6" s="23">
        <v>680.0</v>
      </c>
    </row>
    <row r="7">
      <c r="A7" s="11" t="s">
        <v>55</v>
      </c>
      <c r="B7" s="23">
        <f>'Dagboek macro layout'!C65</f>
        <v>1971</v>
      </c>
      <c r="C7" s="23">
        <v>188.2</v>
      </c>
      <c r="D7" s="23">
        <v>630.6</v>
      </c>
      <c r="E7" s="23">
        <v>187.9</v>
      </c>
      <c r="F7" s="23">
        <v>1100.0</v>
      </c>
    </row>
    <row r="8">
      <c r="A8" s="11" t="s">
        <v>60</v>
      </c>
      <c r="B8" s="23">
        <f>'Dagboek macro layout'!C79</f>
        <v>2378</v>
      </c>
      <c r="C8" s="23">
        <v>70.2</v>
      </c>
      <c r="D8" s="23">
        <v>262.2</v>
      </c>
      <c r="E8" s="23">
        <v>125.4</v>
      </c>
      <c r="F8" s="23">
        <v>2050.0</v>
      </c>
    </row>
    <row r="9">
      <c r="A9" s="11" t="s">
        <v>67</v>
      </c>
      <c r="B9" s="23">
        <f>'Dagboek macro layout'!C90</f>
        <v>1539</v>
      </c>
      <c r="C9" s="23">
        <v>52.8</v>
      </c>
      <c r="D9" s="23">
        <v>263.5</v>
      </c>
      <c r="E9" s="23">
        <v>30.4</v>
      </c>
      <c r="F9" s="23">
        <v>1300.0</v>
      </c>
    </row>
    <row r="10">
      <c r="A10" s="11" t="s">
        <v>72</v>
      </c>
      <c r="B10" s="23">
        <f>'Dagboek macro layout'!C101</f>
        <v>2095</v>
      </c>
      <c r="C10" s="23">
        <v>98.2</v>
      </c>
      <c r="D10" s="23">
        <v>268.3</v>
      </c>
      <c r="E10" s="23">
        <v>88.7</v>
      </c>
      <c r="F10" s="23">
        <v>1600.0</v>
      </c>
    </row>
    <row r="11">
      <c r="A11" s="24" t="s">
        <v>82</v>
      </c>
      <c r="B11" s="25">
        <f t="shared" ref="B11:F11" si="1">AVERAGE(B3:B10)</f>
        <v>2174.875</v>
      </c>
      <c r="C11" s="25">
        <f t="shared" si="1"/>
        <v>100.45</v>
      </c>
      <c r="D11" s="25">
        <f t="shared" si="1"/>
        <v>355.4</v>
      </c>
      <c r="E11" s="25">
        <f t="shared" si="1"/>
        <v>104.1</v>
      </c>
      <c r="F11" s="25">
        <f t="shared" si="1"/>
        <v>1466.25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